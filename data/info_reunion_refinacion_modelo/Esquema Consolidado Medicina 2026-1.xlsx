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documentos_medicina_javerianacali_edu_co/Documents/ESQUEMAS DE ROTACION/2026-1/Medicina/"/>
    </mc:Choice>
  </mc:AlternateContent>
  <xr:revisionPtr revIDLastSave="2798" documentId="8_{64FACFD2-954A-416A-AD86-334418F819CF}" xr6:coauthVersionLast="47" xr6:coauthVersionMax="47" xr10:uidLastSave="{4FD7C90D-3181-47B6-BCD9-66416E81B08F}"/>
  <bookViews>
    <workbookView xWindow="-110" yWindow="-110" windowWidth="19420" windowHeight="11500" tabRatio="857" firstSheet="14" activeTab="3" xr2:uid="{00000000-000D-0000-FFFF-FFFF00000000}"/>
  </bookViews>
  <sheets>
    <sheet name="Semiologia" sheetId="2" r:id="rId1"/>
    <sheet name="Psiquiatría" sheetId="4" r:id="rId2"/>
    <sheet name="Grupos Psiquiatria" sheetId="14" r:id="rId3"/>
    <sheet name="Med_Interna 1" sheetId="3" r:id="rId4"/>
    <sheet name="Esquema Med_Interna 1" sheetId="8" r:id="rId5"/>
    <sheet name="Med_Interna 2 HOSPI" sheetId="5" r:id="rId6"/>
    <sheet name="Esquema Med_Interna 2" sheetId="15" r:id="rId7"/>
    <sheet name="Docentes Med_Interna 2" sheetId="10" r:id="rId8"/>
    <sheet name="Pediatría" sheetId="6" r:id="rId9"/>
    <sheet name="Esquema Pediatría" sheetId="13" r:id="rId10"/>
    <sheet name="Pediatría Docentes" sheetId="19" r:id="rId11"/>
    <sheet name="IX Semestre" sheetId="7" r:id="rId12"/>
    <sheet name="Esquema IX" sheetId="11" r:id="rId13"/>
    <sheet name="X Semestre" sheetId="1" r:id="rId14"/>
    <sheet name="Esquema X" sheetId="16" r:id="rId15"/>
  </sheets>
  <definedNames>
    <definedName name="_xlnm._FilterDatabase" localSheetId="2" hidden="1">'Grupos Psiquiatria'!$A$3:$G$51</definedName>
    <definedName name="_xlnm._FilterDatabase" localSheetId="11" hidden="1">'IX Semestre'!$A$3:$K$60</definedName>
    <definedName name="_xlnm._FilterDatabase" localSheetId="3" hidden="1">'Med_Interna 1'!$B$3:$G$76</definedName>
    <definedName name="_xlnm._FilterDatabase" localSheetId="5" hidden="1">'Med_Interna 2 HOSPI'!$A$3:$O$49</definedName>
    <definedName name="_xlnm._FilterDatabase" localSheetId="8" hidden="1">Pediatría!$A$3:$G$59</definedName>
    <definedName name="_xlnm._FilterDatabase" localSheetId="0" hidden="1">Semiologia!$A$2:$H$60</definedName>
    <definedName name="_xlnm._FilterDatabase" localSheetId="13" hidden="1">'X Semestre'!$A$3:$H$57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8" l="1"/>
  <c r="N42" i="1"/>
  <c r="M6" i="5"/>
  <c r="M8" i="5"/>
  <c r="M10" i="5"/>
  <c r="M12" i="5"/>
  <c r="M14" i="5"/>
  <c r="K6" i="5"/>
  <c r="K11" i="5" l="1"/>
  <c r="K10" i="5"/>
  <c r="K9" i="5"/>
  <c r="K8" i="5"/>
  <c r="K7" i="5"/>
  <c r="K5" i="5"/>
  <c r="K4" i="5"/>
  <c r="M4" i="5"/>
  <c r="K12" i="5"/>
  <c r="K13" i="5"/>
  <c r="I10" i="6"/>
  <c r="I13" i="6"/>
  <c r="I4" i="6"/>
  <c r="K11" i="14"/>
  <c r="K10" i="14"/>
  <c r="K9" i="14"/>
  <c r="K8" i="14"/>
  <c r="K7" i="14"/>
  <c r="K6" i="14"/>
  <c r="K5" i="14"/>
  <c r="K4" i="14"/>
  <c r="K3" i="14"/>
  <c r="I4" i="14"/>
  <c r="I5" i="14"/>
  <c r="I6" i="14"/>
  <c r="I7" i="14"/>
  <c r="I8" i="14"/>
  <c r="I9" i="14"/>
  <c r="I10" i="14"/>
  <c r="I11" i="14"/>
  <c r="I3" i="14"/>
  <c r="K14" i="5" l="1"/>
  <c r="M16" i="5"/>
  <c r="K13" i="2"/>
  <c r="L6" i="1"/>
  <c r="P6" i="3"/>
  <c r="O6" i="3"/>
  <c r="L5" i="3"/>
  <c r="L6" i="3"/>
  <c r="L7" i="3"/>
  <c r="L8" i="3"/>
  <c r="L9" i="3"/>
  <c r="L10" i="3"/>
  <c r="L11" i="3"/>
  <c r="L4" i="3"/>
  <c r="J5" i="3"/>
  <c r="J6" i="3"/>
  <c r="J7" i="3"/>
  <c r="J8" i="3"/>
  <c r="J9" i="3"/>
  <c r="J10" i="3"/>
  <c r="J11" i="3"/>
  <c r="J4" i="3"/>
  <c r="L17" i="1"/>
  <c r="L16" i="1"/>
  <c r="L15" i="1"/>
  <c r="L14" i="1"/>
  <c r="L13" i="1"/>
  <c r="L12" i="1"/>
  <c r="L11" i="1"/>
  <c r="L10" i="1"/>
  <c r="L9" i="1"/>
  <c r="L8" i="1"/>
  <c r="L7" i="1"/>
  <c r="K10" i="2" l="1"/>
  <c r="K11" i="2"/>
  <c r="K12" i="2"/>
  <c r="K15" i="2"/>
  <c r="K7" i="2"/>
  <c r="K8" i="2"/>
  <c r="K9" i="2"/>
  <c r="K14" i="2"/>
  <c r="K3" i="2"/>
  <c r="K4" i="2"/>
  <c r="K5" i="2"/>
  <c r="K6" i="2"/>
  <c r="K16" i="2"/>
  <c r="L18" i="1"/>
  <c r="I5" i="6"/>
  <c r="I6" i="6"/>
  <c r="I7" i="6"/>
  <c r="I8" i="6"/>
  <c r="I9" i="6"/>
  <c r="I11" i="6"/>
  <c r="I12" i="6"/>
  <c r="K5" i="7"/>
  <c r="K15" i="7"/>
  <c r="K4" i="7"/>
  <c r="I14" i="6" l="1"/>
  <c r="K17" i="2"/>
  <c r="K14" i="7"/>
  <c r="K13" i="7"/>
  <c r="K12" i="7"/>
  <c r="K11" i="7"/>
  <c r="K10" i="7"/>
  <c r="K9" i="7"/>
  <c r="K8" i="7"/>
  <c r="K7" i="7"/>
  <c r="K6" i="7"/>
  <c r="I12" i="14" l="1"/>
  <c r="K12" i="14"/>
  <c r="J14" i="14" l="1"/>
  <c r="K16" i="7"/>
  <c r="I12" i="3" l="1"/>
  <c r="K12" i="3"/>
  <c r="I13" i="3"/>
</calcChain>
</file>

<file path=xl/sharedStrings.xml><?xml version="1.0" encoding="utf-8"?>
<sst xmlns="http://schemas.openxmlformats.org/spreadsheetml/2006/main" count="2661" uniqueCount="1143">
  <si>
    <t xml:space="preserve">SEMIOLOGÍA 2026-1 Miércoles y viernes de 2pm a 6pm </t>
  </si>
  <si>
    <t>Grupo</t>
  </si>
  <si>
    <t>Id</t>
  </si>
  <si>
    <t>Nombre</t>
  </si>
  <si>
    <t>Documento</t>
  </si>
  <si>
    <t>Teléfono</t>
  </si>
  <si>
    <t>Correo</t>
  </si>
  <si>
    <t>14/01/2026 al 27/03/2026</t>
  </si>
  <si>
    <t>08/04/2026 al 05/06/2026</t>
  </si>
  <si>
    <t>U1</t>
  </si>
  <si>
    <t>RICO PRADO, DANIELA</t>
  </si>
  <si>
    <t>danirico@javerianacali.edu.co</t>
  </si>
  <si>
    <t>DRA OLGA SALAZAR
CLINICA VERSALLES (1)</t>
  </si>
  <si>
    <t>DRA SOLANGE PINEDA
H. MARIO CORREA (2)</t>
  </si>
  <si>
    <t>PELAEZ VALDES, KARLA SOFIA</t>
  </si>
  <si>
    <t>ksofiapelaezv@javerianacali.edu.co</t>
  </si>
  <si>
    <t>U2</t>
  </si>
  <si>
    <t>MONTOYA CORREDOR, WILFER DANIEL</t>
  </si>
  <si>
    <t>wdmontoya@javerianacali.edu.co</t>
  </si>
  <si>
    <t>U3</t>
  </si>
  <si>
    <t>VARGAS GONZALEZ, ANDREA VALENTINA</t>
  </si>
  <si>
    <t>andreav1@javerianacali.edu.co</t>
  </si>
  <si>
    <t>U4</t>
  </si>
  <si>
    <t>HERNANDEZ MORALES, KAREN VANESSA</t>
  </si>
  <si>
    <t>karenhernandez@javerianacali.edu.co</t>
  </si>
  <si>
    <t>U5</t>
  </si>
  <si>
    <t>PEÑA ANACONA, JUAN MANUEL</t>
  </si>
  <si>
    <t>juanma100607@javerianacali.edu.co</t>
  </si>
  <si>
    <t>DR MAIGER DIAZ
HSJD (1)</t>
  </si>
  <si>
    <t>DRA OLGA SALAZAR
CLINICA VERSALLES</t>
  </si>
  <si>
    <t>U6</t>
  </si>
  <si>
    <t>CARVAJAL CRUZ, MARIA CAMILA</t>
  </si>
  <si>
    <t>mila@javerianacali.edu.co</t>
  </si>
  <si>
    <t>U7</t>
  </si>
  <si>
    <t>SEGURA RINCON, SANDRA PATRICIA</t>
  </si>
  <si>
    <t>sandra2024@javerianacali.edu.co</t>
  </si>
  <si>
    <t>U8</t>
  </si>
  <si>
    <t>AYALA REINA, JOSE DANIEL</t>
  </si>
  <si>
    <t>joseayalar@javerianacali.edu.co</t>
  </si>
  <si>
    <t>U9</t>
  </si>
  <si>
    <t>CORDOBA MENDOZA, DANIELA</t>
  </si>
  <si>
    <t>danielac1208@javerianacali.edu.co</t>
  </si>
  <si>
    <t>U10</t>
  </si>
  <si>
    <t>ROSERO RENGIFO, LUIS ANTONIO</t>
  </si>
  <si>
    <t>luirroe2805@javerianacali.edu.co</t>
  </si>
  <si>
    <t>DANIEL RESTREPO
H. ISAÍAS DUARTE</t>
  </si>
  <si>
    <t>DRA ANGELA MARIA VASCO
CLINICA VERSALLES (2)</t>
  </si>
  <si>
    <t>U11</t>
  </si>
  <si>
    <t>MESA TORRES, MARIA FERNANDA</t>
  </si>
  <si>
    <t>mafetorres2345@hotmail.com</t>
  </si>
  <si>
    <t>U12</t>
  </si>
  <si>
    <t>GOMEZ RIVERA, DANIELA</t>
  </si>
  <si>
    <t>danielagomezriv@javerianacali.edu.co</t>
  </si>
  <si>
    <t>U13</t>
  </si>
  <si>
    <t>MANZANO RIZO, ARANTZA</t>
  </si>
  <si>
    <t>arantzamanzanorizo@javerianacali.edu.co</t>
  </si>
  <si>
    <t>U14</t>
  </si>
  <si>
    <t>SEPULVEDA QUINTERO, JUAN FELIPE</t>
  </si>
  <si>
    <t>juanfesq@javerianacali.edu.co</t>
  </si>
  <si>
    <t>Total</t>
  </si>
  <si>
    <t>GARCIA BERMUDEZ, LINA VICTORIA</t>
  </si>
  <si>
    <t>linavictoriagarcia@javerianacali.edu.co</t>
  </si>
  <si>
    <t>DRA PILAR ESPINOSA
CLINICA COLOMBIA (1)</t>
  </si>
  <si>
    <t>DR OMAR RUIZ
CLÍNICA NUEVA (1)</t>
  </si>
  <si>
    <t>CARDONA GONZALEZ, NATALIA</t>
  </si>
  <si>
    <t>nataliacardonag2006@gmail.com</t>
  </si>
  <si>
    <t>SANCHEZ AVENDAÑO, MANUELA</t>
  </si>
  <si>
    <t>manuelaalejandra06@javerianacali.edu.co</t>
  </si>
  <si>
    <t>PEREZ TOVAR, ISABELLA</t>
  </si>
  <si>
    <t>11103622@javerianacali.edu.co</t>
  </si>
  <si>
    <t>BELTRAN MURCIA, JAIRO</t>
  </si>
  <si>
    <t>jairo8@javerianacali.edu.co</t>
  </si>
  <si>
    <t>PINO DUQUE, SANTIAGO</t>
  </si>
  <si>
    <t>santiagopino@javerianacali.edu.co</t>
  </si>
  <si>
    <t>DR SANTIAGO MORENO
CLINICA COLOMBIA (2)</t>
  </si>
  <si>
    <t>DR CARLOS PRADO
H. MARIO CORREA (2)</t>
  </si>
  <si>
    <t>VARGAS HOYOS, LAURA VALENTINA</t>
  </si>
  <si>
    <t>valentinavargas1826@javerianacali.edu.co</t>
  </si>
  <si>
    <t>ARIAS BLANDON, ISABELLA</t>
  </si>
  <si>
    <t>iarias2007@javerianacali.edu.co</t>
  </si>
  <si>
    <t>Verhelst Fernandez, Andres Antonio</t>
  </si>
  <si>
    <t>ANDRES.VERHELST@javerianacali.edu.co</t>
  </si>
  <si>
    <t>BERMUDEZ NAVARRO, JULIANA</t>
  </si>
  <si>
    <t>julianabn05@javerianacali.edu.co</t>
  </si>
  <si>
    <t>ANDRADE PRADO, LAURA SOFIA</t>
  </si>
  <si>
    <t>laura28@javerianacali.edu.co</t>
  </si>
  <si>
    <t>CAMPO AGUDELO, SERGIO ANDRES</t>
  </si>
  <si>
    <t>sacampo@javerianacali.edu.co</t>
  </si>
  <si>
    <t>BETANCOUR AVIRAMA, CRISTIAN</t>
  </si>
  <si>
    <t>cristianbt07@javerianacali.edu.co</t>
  </si>
  <si>
    <t>Vargas Delgado, Sara</t>
  </si>
  <si>
    <t>sara.vargas@javerianacali.edu.co</t>
  </si>
  <si>
    <t>CARREÑO CEBALLOS, BRAYAN</t>
  </si>
  <si>
    <t>bracarreno@javerianacali.edu.co</t>
  </si>
  <si>
    <t>ALBAN SILVA, MARIA PAULA</t>
  </si>
  <si>
    <t>mariapaulalaban@javerianacali.edu.co</t>
  </si>
  <si>
    <t>DRA SOLANGE PINEDA
H. MARIO CORREA (1)</t>
  </si>
  <si>
    <t>VELASCO TORRES, JUAN DANIEL</t>
  </si>
  <si>
    <t>jvelasco03@javerianacali.edu.co</t>
  </si>
  <si>
    <t>GUTIERREZ MOLINA, JUAN PABLO</t>
  </si>
  <si>
    <t>juanpablo725@javerianacali.edu.co</t>
  </si>
  <si>
    <t>SANCLEMENTE MARTINEZ, VALENTINA</t>
  </si>
  <si>
    <t>valentinasanclement3@javerianacali.edu.co</t>
  </si>
  <si>
    <t>GUEVARA HENAO, MARIA JOSE</t>
  </si>
  <si>
    <t>mariajoseguevaram@javerianacali.edu.co</t>
  </si>
  <si>
    <t>CEDEÑO LONDOÑO, MANUELA</t>
  </si>
  <si>
    <t>manuelaclg30@javerianacali.edu.co</t>
  </si>
  <si>
    <t>FIGUEROA CHAVEZ, SANTIAGO ANDRES</t>
  </si>
  <si>
    <t>sanfich@javerianacali.edu.co</t>
  </si>
  <si>
    <t>Galvis Urdinola, Ivan Alejandro</t>
  </si>
  <si>
    <t>ivanalejandro2005@javerianacali.edu.co</t>
  </si>
  <si>
    <t>Cambio de U12 a U8</t>
  </si>
  <si>
    <t>VALLEJO NARVAEZ, LAURA VALENTINA</t>
  </si>
  <si>
    <t>valentinavallejo31@javerianacali.edu.co</t>
  </si>
  <si>
    <t>SARMIENTO ARAGON, ANDREA ISABELLA</t>
  </si>
  <si>
    <t>isasarmientoa@javerianacali.edu.co</t>
  </si>
  <si>
    <t>VELASCO GRIJALVA, LUZ ESTEFANY</t>
  </si>
  <si>
    <t>luvelascog@javerianacali.edu.co</t>
  </si>
  <si>
    <t>CARMEN TATIANA VÉLEZ
CLÍNICA FARALLONES</t>
  </si>
  <si>
    <t>CORRALES SIERRA, JUAN DAVID</t>
  </si>
  <si>
    <t>juancorraless@javerianacali.edu.co</t>
  </si>
  <si>
    <t>NAVIA BUCHELI, JOSE FRANCISCO</t>
  </si>
  <si>
    <t>josenaviab@javerianacali.edu.co</t>
  </si>
  <si>
    <t>LAVERDE RODRIGUEZ, VALENTINA</t>
  </si>
  <si>
    <t>valenlaverde09@javerianacali.edu.co</t>
  </si>
  <si>
    <t>VELEZ GUERRA, LAURA SOFIA</t>
  </si>
  <si>
    <t>velezlaura@javerianacali.edu.co</t>
  </si>
  <si>
    <t>RUANO ANACONA, ARBEY</t>
  </si>
  <si>
    <t>arbey@javerianacali.edu.co</t>
  </si>
  <si>
    <t>DRA CAROLINA RUIZ
HSJD (2)</t>
  </si>
  <si>
    <t>CESAR MAURICIO DAZA
CLÍNICA CALI</t>
  </si>
  <si>
    <t>BEDOYA RAMIREZ, JULIANA SOFIA</t>
  </si>
  <si>
    <t>jjulianabedoyar@javerianacali.edu.co</t>
  </si>
  <si>
    <t>NARVAEZ CHAMORRO, JACOBO</t>
  </si>
  <si>
    <t>jaconarvaez22@javerianacali.edu.co</t>
  </si>
  <si>
    <t>PRIETO VILLAMIL, MARIANA</t>
  </si>
  <si>
    <t>marianaprivi1@javerianacali.edu.co</t>
  </si>
  <si>
    <t>PEREZ AGUDELO, VALERIO ALEJANDRO</t>
  </si>
  <si>
    <t>valeriop1@javerianacali.edu.co</t>
  </si>
  <si>
    <t>GRANADOS LOPEZ, JUAN SEBASTIAN</t>
  </si>
  <si>
    <t>sebastiangranados@javerianacali.edu.co</t>
  </si>
  <si>
    <t>HURTADO RAMOS, SALOME</t>
  </si>
  <si>
    <t>salomehr77@javerianacali.edu.co</t>
  </si>
  <si>
    <t>BECHARA LIGARRETTO, ISABELLA</t>
  </si>
  <si>
    <t>ibechara200606@gmail.com</t>
  </si>
  <si>
    <t>UNIGARRO CABRERA MARIA PAUL.A</t>
  </si>
  <si>
    <t>mariapaulaunigarro@javerianacali.edu.co</t>
  </si>
  <si>
    <t>GIPIS RAMIREZ, ISABEL SOFIA</t>
  </si>
  <si>
    <t>sofiagipis@javerianacali.edu.co</t>
  </si>
  <si>
    <t>ANGEL RIOS, ISABELLA</t>
  </si>
  <si>
    <t>isabellangelr@javerianacali.edu.co</t>
  </si>
  <si>
    <t>CALDERON GIRALDO, JHONATAN</t>
  </si>
  <si>
    <t>calderonjhonatan00@gmail.com</t>
  </si>
  <si>
    <t>DE LAS SALAS JIMENEZ, MARIANA PATRICIA</t>
  </si>
  <si>
    <t>marianadelassalas05@javerianacali.edu.co</t>
  </si>
  <si>
    <t>PSIQUIATRÍA</t>
  </si>
  <si>
    <t>2026-1</t>
  </si>
  <si>
    <t>Actividad</t>
  </si>
  <si>
    <t>Día</t>
  </si>
  <si>
    <t>Enero</t>
  </si>
  <si>
    <t>Febrero</t>
  </si>
  <si>
    <t>Marzo</t>
  </si>
  <si>
    <t>Abril</t>
  </si>
  <si>
    <t>Mayo</t>
  </si>
  <si>
    <t>Junio</t>
  </si>
  <si>
    <t>TEORÍA PUJ (E. Castrillón)</t>
  </si>
  <si>
    <t>M,Mi,j,V </t>
  </si>
  <si>
    <t>TODO EL GRUPO B</t>
  </si>
  <si>
    <t>TODO EL GRUPO A</t>
  </si>
  <si>
    <r>
      <t>HDPUV. DRA. NATALIA ALDANA (Consulta Externa)</t>
    </r>
    <r>
      <rPr>
        <sz val="11"/>
        <color rgb="FF000000"/>
        <rFont val="Calibri"/>
        <family val="2"/>
      </rPr>
      <t> </t>
    </r>
  </si>
  <si>
    <t>M, J</t>
  </si>
  <si>
    <t>INDUCCIONES</t>
  </si>
  <si>
    <t>A1</t>
  </si>
  <si>
    <t>A9</t>
  </si>
  <si>
    <t>A8</t>
  </si>
  <si>
    <t>A7</t>
  </si>
  <si>
    <t>A6</t>
  </si>
  <si>
    <t>A5</t>
  </si>
  <si>
    <t>A4</t>
  </si>
  <si>
    <t>A3</t>
  </si>
  <si>
    <t>A2</t>
  </si>
  <si>
    <t>B1</t>
  </si>
  <si>
    <t>B9</t>
  </si>
  <si>
    <t>B8</t>
  </si>
  <si>
    <t>B7</t>
  </si>
  <si>
    <t>B6</t>
  </si>
  <si>
    <t>B5</t>
  </si>
  <si>
    <t>B4</t>
  </si>
  <si>
    <t>B3</t>
  </si>
  <si>
    <t>B2</t>
  </si>
  <si>
    <t>EVALUACIONES FINALES</t>
  </si>
  <si>
    <t>HDPUV. DRA. VIVIANA CHACON (Consulta Externa)</t>
  </si>
  <si>
    <t>Mi, V</t>
  </si>
  <si>
    <t>Caso Clínico virtual 1 (Lina Zapata)</t>
  </si>
  <si>
    <t>Asincrónico </t>
  </si>
  <si>
    <r>
      <t>HDPUV. DR. BETANCOURT (Hospital Día)</t>
    </r>
    <r>
      <rPr>
        <sz val="11"/>
        <color rgb="FF000000"/>
        <rFont val="Calibri"/>
        <family val="2"/>
      </rPr>
      <t> </t>
    </r>
  </si>
  <si>
    <r>
      <t>Caso Clínico virtual 2</t>
    </r>
    <r>
      <rPr>
        <sz val="11"/>
        <color rgb="FF000000"/>
        <rFont val="Calibri"/>
        <family val="2"/>
      </rPr>
      <t> </t>
    </r>
    <r>
      <rPr>
        <sz val="12"/>
        <color rgb="FF000000"/>
        <rFont val="Calibri"/>
        <family val="2"/>
      </rPr>
      <t>(Lina Zapata)</t>
    </r>
  </si>
  <si>
    <r>
      <t>HDPUV. DRA. SOLIS (Urgencias)</t>
    </r>
    <r>
      <rPr>
        <sz val="11"/>
        <color rgb="FF000000"/>
        <rFont val="Calibri"/>
        <family val="2"/>
      </rPr>
      <t> </t>
    </r>
  </si>
  <si>
    <t>M,Mi,J,V </t>
  </si>
  <si>
    <r>
      <t>Caso Clínico virtual 3</t>
    </r>
    <r>
      <rPr>
        <sz val="11"/>
        <color rgb="FF000000"/>
        <rFont val="Calibri"/>
        <family val="2"/>
      </rPr>
      <t> </t>
    </r>
    <r>
      <rPr>
        <sz val="12"/>
        <color rgb="FF000000"/>
        <rFont val="Calibri"/>
        <family val="2"/>
      </rPr>
      <t>(Lina Zapata)</t>
    </r>
  </si>
  <si>
    <r>
      <t>C_CALI. DRA. JULIANA GALINDO (Enlace)</t>
    </r>
    <r>
      <rPr>
        <sz val="11"/>
        <color rgb="FF000000"/>
        <rFont val="Calibri"/>
        <family val="2"/>
      </rPr>
      <t> </t>
    </r>
  </si>
  <si>
    <t>HDUPV. DR. GIL (Hospitalización - Sala 3)</t>
  </si>
  <si>
    <t>J, V </t>
  </si>
  <si>
    <t>M</t>
  </si>
  <si>
    <r>
      <t>Caso Clínico virtual 4</t>
    </r>
    <r>
      <rPr>
        <sz val="11"/>
        <color rgb="FF000000"/>
        <rFont val="Calibri"/>
        <family val="2"/>
      </rPr>
      <t> </t>
    </r>
    <r>
      <rPr>
        <sz val="12"/>
        <color rgb="FF000000"/>
        <rFont val="Calibri"/>
        <family val="2"/>
      </rPr>
      <t>(Lina Zapata)</t>
    </r>
  </si>
  <si>
    <t>HDUPV. DR. VILLAMARÍN (Consulta Externa)</t>
  </si>
  <si>
    <t>CORREA MEJIA, SEBASTIAN</t>
  </si>
  <si>
    <t>sebastiancorrea04@javerianacali.edu.co</t>
  </si>
  <si>
    <t>MEJIA OCHOA, KEILY JOHANNA</t>
  </si>
  <si>
    <t>keily19@javerianacali.edu.co</t>
  </si>
  <si>
    <t>BERMUDEZ SOLARTE, MARIA CAMILA</t>
  </si>
  <si>
    <t>mariacamilabermudezs@javerianacali.edu.co</t>
  </si>
  <si>
    <t>MONTOYA GOMEZ, MANUELA</t>
  </si>
  <si>
    <t>manuelamontoya08@javerianacali.edu.co</t>
  </si>
  <si>
    <t>ARANA VILLEGAS, MARIA JOSE</t>
  </si>
  <si>
    <t>majoaranav02@javerianacali.edu.co</t>
  </si>
  <si>
    <t>MANCO RODRIGUEZ, JUAN GUILLERMO</t>
  </si>
  <si>
    <t>jgmanco@javerianacali.edu.co</t>
  </si>
  <si>
    <t>VALENCIA PARRA, VALENTINA</t>
  </si>
  <si>
    <t>valentina63@javerianacali.edu.co</t>
  </si>
  <si>
    <t>MORALES SERNA, SANTIAGO</t>
  </si>
  <si>
    <t>smoralesg27@javerianacali.edu.co</t>
  </si>
  <si>
    <t>PERLAZA BARONA, GLORIA NICOLE</t>
  </si>
  <si>
    <t>nicoleperlaza14@javerianacali.edu.co</t>
  </si>
  <si>
    <t>GUERRA ABRIL, MANUELA</t>
  </si>
  <si>
    <t>manuelaguerra@javerianacali.edu.co</t>
  </si>
  <si>
    <t>CORREA DUQUE, DAVID</t>
  </si>
  <si>
    <t>davidcorreaduque@javerianacali.edu.co</t>
  </si>
  <si>
    <t>BERNAL FRANCO, MARIA JOSE</t>
  </si>
  <si>
    <t>mariabernalf1@javerianacali.edu.co</t>
  </si>
  <si>
    <t xml:space="preserve"> </t>
  </si>
  <si>
    <t>OTERO MARIN, ALEJANDRA</t>
  </si>
  <si>
    <t>alejandra60@javerianacali.edu.co</t>
  </si>
  <si>
    <t>VASQUEZ PALACIO, SOFIA</t>
  </si>
  <si>
    <t>sofiavasquezp@javerianacali.edu.co</t>
  </si>
  <si>
    <t>ZULUAGA CAICEDO, VALENTINA</t>
  </si>
  <si>
    <t>valenzuluaga9@javerianacali.edu.co</t>
  </si>
  <si>
    <t>SANCHEZ ORTIZ, LAURA DANIELA</t>
  </si>
  <si>
    <t>laurasanchez@javerianacali.edu.co</t>
  </si>
  <si>
    <t>PERLAZA ORDOÑEZ, RAQUEL</t>
  </si>
  <si>
    <t>raquelperlazao10@javerianacali.edu.co</t>
  </si>
  <si>
    <t>OSORIO CUELLAR, NICOLE AINARA</t>
  </si>
  <si>
    <t>nicoleainara@javerianacali.edu.co</t>
  </si>
  <si>
    <t>VILLALOBOS RODRIGUEZ, LAURA</t>
  </si>
  <si>
    <t>laura.villalobossr@gmail.com</t>
  </si>
  <si>
    <t>BERMUDEZ ORTIZ, LAURA ISABEL</t>
  </si>
  <si>
    <t>laubermudez026@javerianacali.edu.co</t>
  </si>
  <si>
    <t>GARCIA LOPEZ, VALENTINA</t>
  </si>
  <si>
    <t>valentina82536@javerianacali.edu.co</t>
  </si>
  <si>
    <t>HOYOS CORTAZAR, SARA</t>
  </si>
  <si>
    <t>sarahoyosc06@javerianacali.edu.co</t>
  </si>
  <si>
    <t>MURIEL BOCANEGRA, MARIA PAULA</t>
  </si>
  <si>
    <t>maripau04@javerianacali.edu.co</t>
  </si>
  <si>
    <t>AFANADOR MURILLO, JUAN PABLO</t>
  </si>
  <si>
    <t>jpmurillo06@javerianacali.edu.co</t>
  </si>
  <si>
    <t>NARANJO CAMAYO, MARIA JOSE</t>
  </si>
  <si>
    <t>mariajosen26@javerianacali.edu.co</t>
  </si>
  <si>
    <t>ZAPATA GIRALDO, HUBERNEY</t>
  </si>
  <si>
    <t>huberney0407101@javerianacali.edu.co</t>
  </si>
  <si>
    <t>MURILLO FRANCO, MARIA ANTONIA</t>
  </si>
  <si>
    <t>mantoniamurillo@javerianacali.edu.co</t>
  </si>
  <si>
    <t>GALLEGO OSPINA, SANTIAGO</t>
  </si>
  <si>
    <t>sgallego23@javerianacali.edu.co</t>
  </si>
  <si>
    <t>PANTOJA ACOSTA, ISAAC MATEO</t>
  </si>
  <si>
    <t>isaacpantoja@javerianacali.edu.co</t>
  </si>
  <si>
    <t>IBARRA MONSALVO, IVANNA MARGARITA</t>
  </si>
  <si>
    <t>ivanna22@javerianacali.edu.co</t>
  </si>
  <si>
    <t>RODRIGUEZ CORTES, JUAN ANDRES MASSIMO</t>
  </si>
  <si>
    <t>massimo123224@javerianacali.edu.co</t>
  </si>
  <si>
    <t>VILLEGAS TENORIO, ALEJANDRO</t>
  </si>
  <si>
    <t>alejov0619@javerianacali.edu.co</t>
  </si>
  <si>
    <t>NEGRETE RIVERA, DANIELA SOFIA</t>
  </si>
  <si>
    <t>danisofineri@javerianacali.edu.co</t>
  </si>
  <si>
    <t>JARAMILLO ESTRADA, DANIELA</t>
  </si>
  <si>
    <t>danielajaramillo@javerianacali.edu.co</t>
  </si>
  <si>
    <t>AGUDELO CRUZ, SILVANA ANGELIQUE</t>
  </si>
  <si>
    <t>silvana0408@javerianacali.edu.co</t>
  </si>
  <si>
    <t>VIVEROS ORTIZ, ISABELLA</t>
  </si>
  <si>
    <t>isabellavior@javerianacali.edu.co</t>
  </si>
  <si>
    <t>SOLANO DAZZAROLA, NATALIA</t>
  </si>
  <si>
    <t>nataliasolanod@javerianacali.edu.co</t>
  </si>
  <si>
    <t>KARAM LONDOÑO, MICHELLE</t>
  </si>
  <si>
    <t>michellekl@javerianacali.edu.co</t>
  </si>
  <si>
    <t>RADA SIERRA, JUAN JOSE</t>
  </si>
  <si>
    <t>juanradasierra32@javerianacali.edu.co</t>
  </si>
  <si>
    <t>REYES BELLO, WALTER JULIAN</t>
  </si>
  <si>
    <t>julirello@javerianacali.edu.co</t>
  </si>
  <si>
    <t>RAMIREZ ISAZA, SOFIA</t>
  </si>
  <si>
    <t>sofiaramirez@javerianacali.edu.co</t>
  </si>
  <si>
    <t>CERON CARRERA, SANTIAGO JOSE</t>
  </si>
  <si>
    <t>sjceron@javerianacali.edu.co</t>
  </si>
  <si>
    <t>HERNANDEZ GUTIERREZ, JULIANA</t>
  </si>
  <si>
    <t>julianahernandez@javerianacali.edu.co</t>
  </si>
  <si>
    <t>MURGUEITIO ESPINOSA, SEBASTIAN</t>
  </si>
  <si>
    <t>smurgueitio7@javerianacali.edu.co</t>
  </si>
  <si>
    <t>VILLEGAS CARVAJAL, ALEJANDRO</t>
  </si>
  <si>
    <t>alvillegasc27@javerianacali.edu.co</t>
  </si>
  <si>
    <t>MONCAYO GONZALEZ, SOFIA</t>
  </si>
  <si>
    <t>sofiamg17@javerianacali.edu.co</t>
  </si>
  <si>
    <t>HASSAN ORDOÑEZ, SAHRA VALENTINA</t>
  </si>
  <si>
    <t>sahrahassan@javerianacali.edu.co</t>
  </si>
  <si>
    <t>POLANIA HERRERA, MANUELA</t>
  </si>
  <si>
    <t>manupola@javerianacali.edu.co</t>
  </si>
  <si>
    <t>REINA VILLARREAL, ANDREJ</t>
  </si>
  <si>
    <t>areinav@javerianacali.edu.co</t>
  </si>
  <si>
    <t>ALVAREZ ABADIA, CAMILO ANDRES</t>
  </si>
  <si>
    <t>caalvarez22@javerianacali.edu.co</t>
  </si>
  <si>
    <t>AULLON GOMEZ, ISABELLA</t>
  </si>
  <si>
    <t>isaag1850@javerianacali.edu.co</t>
  </si>
  <si>
    <t>BURBANO GARCIA, SOFIA</t>
  </si>
  <si>
    <t>sofiaburbanogarcia@javerianacali.edu.co</t>
  </si>
  <si>
    <t>VILLEGAS ESPINOSA, SARA LUCIA</t>
  </si>
  <si>
    <t>saravillegas09@javerianacali.edu.co</t>
  </si>
  <si>
    <t>VELIZ GUERRERO, LUIS FREIMAR</t>
  </si>
  <si>
    <t>luisvelizguerrero05@javerianacali.edu.co</t>
  </si>
  <si>
    <t>MUÑOZ ACHICANOY, ESTEFANY DANIELA</t>
  </si>
  <si>
    <t>tefamunoz12@javerianacali.edu.co</t>
  </si>
  <si>
    <t>ZAPATA ALZATE, MARIANNA</t>
  </si>
  <si>
    <t>mariannazapataa@javerianacali.edu.co</t>
  </si>
  <si>
    <t>GONZALEZ PADILLA, HELEN DAYANA</t>
  </si>
  <si>
    <t>helendgp@javerianacali.edu.co</t>
  </si>
  <si>
    <t>YEPES GARCIA, JUAN DAVID</t>
  </si>
  <si>
    <t>juanyeps95@javerianacali.edu.co</t>
  </si>
  <si>
    <t>MONTAÑO PERLAZA, KRIST VALENTINA</t>
  </si>
  <si>
    <t>valentinamontano16@javerianacali.edu.co</t>
  </si>
  <si>
    <t>FERNANDEZ MOTATO, VALERIA</t>
  </si>
  <si>
    <t>valeriafernandezm@javerianacali.edu.co</t>
  </si>
  <si>
    <t>JAIMES BLANCO, ISABELLA</t>
  </si>
  <si>
    <t>isajaimes16@javerianacali.edu.co</t>
  </si>
  <si>
    <t>STERLING FAJARDO, SOFIA</t>
  </si>
  <si>
    <t>sofisterling@javerianacali.edu.co</t>
  </si>
  <si>
    <t>PRIETO RAMIREZ, SANTIAGO</t>
  </si>
  <si>
    <t>santiago422@javerianacali.edu.co</t>
  </si>
  <si>
    <t>ORTIZ HURTADO, HEILY GINETH</t>
  </si>
  <si>
    <t>heily2005@javerianacali.edu.co</t>
  </si>
  <si>
    <t>SALINAS GUZMAN, MARIANA</t>
  </si>
  <si>
    <t>marianasalinas18@javerianacali.edu.co</t>
  </si>
  <si>
    <t>DIAZ ALVIS, SOFIA</t>
  </si>
  <si>
    <t>sofiada03@javerianacali.edu.co</t>
  </si>
  <si>
    <t>AYALA FRANCO, SELENE</t>
  </si>
  <si>
    <t>selene@javerianacali.edu.co</t>
  </si>
  <si>
    <t>JIMENEZ DIAZ, SARA DANIELA</t>
  </si>
  <si>
    <t>saradanielaj08@javerianacali.edu.co</t>
  </si>
  <si>
    <t>GONZALEZ CARRERO, ISABELLA</t>
  </si>
  <si>
    <t>isagonzalez@javerianacali.edu.co</t>
  </si>
  <si>
    <t>VELA ORJUELA, MARIA PAULA</t>
  </si>
  <si>
    <t>paulavela0220@javerianacali.edu.co</t>
  </si>
  <si>
    <t>RIVAS OROBIO, ALEJANDRO</t>
  </si>
  <si>
    <t>alejandro2006@javerianacali.edu.co</t>
  </si>
  <si>
    <t>BUSH QUEEMAN, IZABELLA</t>
  </si>
  <si>
    <t>izabella@javerianacali.edu.co</t>
  </si>
  <si>
    <t xml:space="preserve">MEDICINA INTERNA I Martes a jueves de 2pm a 6pm </t>
  </si>
  <si>
    <t>emplid</t>
  </si>
  <si>
    <t>Nombres</t>
  </si>
  <si>
    <t>Correo 1</t>
  </si>
  <si>
    <t>No.</t>
  </si>
  <si>
    <t>Fecha Inicio</t>
  </si>
  <si>
    <t>Ayudas Dx</t>
  </si>
  <si>
    <t>Med_Interna</t>
  </si>
  <si>
    <t>A</t>
  </si>
  <si>
    <t>8987594</t>
  </si>
  <si>
    <t>B</t>
  </si>
  <si>
    <t>8969008</t>
  </si>
  <si>
    <t>MUÑOZ RUIZ, ARIADNA SOFIA</t>
  </si>
  <si>
    <t>asmunoz22@javerianacali.edu.co</t>
  </si>
  <si>
    <t>Enero 13</t>
  </si>
  <si>
    <t xml:space="preserve"> ROTACIÓN MEDICINA INTERNA I
300MDM015</t>
  </si>
  <si>
    <t>Semana</t>
  </si>
  <si>
    <t>Fecha</t>
  </si>
  <si>
    <t>Ayudas Diagnósticas</t>
  </si>
  <si>
    <t>Medicina Interna I</t>
  </si>
  <si>
    <t>Javeriana</t>
  </si>
  <si>
    <t>HUV</t>
  </si>
  <si>
    <t>HSJD</t>
  </si>
  <si>
    <t>Rey David</t>
  </si>
  <si>
    <t>Versalles</t>
  </si>
  <si>
    <t>1 a 10</t>
  </si>
  <si>
    <t>13/01/2026 al 20/03/2026</t>
  </si>
  <si>
    <t>Lu</t>
  </si>
  <si>
    <t>TODO B</t>
  </si>
  <si>
    <t>Ma</t>
  </si>
  <si>
    <t>Mi</t>
  </si>
  <si>
    <t>Ju</t>
  </si>
  <si>
    <t>Revsión de temas - TODO A</t>
  </si>
  <si>
    <t>Vi</t>
  </si>
  <si>
    <t>11 a 20</t>
  </si>
  <si>
    <t>23/03/2026 a 05/06/2026</t>
  </si>
  <si>
    <t>TODO A</t>
  </si>
  <si>
    <t>Revsión de temas - TODO B</t>
  </si>
  <si>
    <t>Enero 12 a 
Junio 5</t>
  </si>
  <si>
    <t>Jose Humberto Bravo</t>
  </si>
  <si>
    <t>Dr. Mayoral</t>
  </si>
  <si>
    <t>Dr. Morales</t>
  </si>
  <si>
    <t>Dr. Pinillos</t>
  </si>
  <si>
    <t>Dr. Ayala</t>
  </si>
  <si>
    <t>Dr. T. Acosta</t>
  </si>
  <si>
    <t>Dr. Garces</t>
  </si>
  <si>
    <t>Dra. Matta</t>
  </si>
  <si>
    <t>Dr. Aragón</t>
  </si>
  <si>
    <t>Revsión de temas - PUJ</t>
  </si>
  <si>
    <t>MEDICIA INTERNA II</t>
  </si>
  <si>
    <t> </t>
  </si>
  <si>
    <t>Hospi</t>
  </si>
  <si>
    <t>Espe</t>
  </si>
  <si>
    <t>Hospitalización</t>
  </si>
  <si>
    <t>Especialidades</t>
  </si>
  <si>
    <t>GARZON VELEZ, CATALINA</t>
  </si>
  <si>
    <t>catagarzonv@javerianacali.edu.co</t>
  </si>
  <si>
    <t>BERMEO MORENO, JOSE TOMAS</t>
  </si>
  <si>
    <t>jtbermeom@javerianacali.edu.co</t>
  </si>
  <si>
    <t>B1*</t>
  </si>
  <si>
    <t>DAVILA LEON, ROMAN BENYANNI</t>
  </si>
  <si>
    <t>benyanni@javerianacali.edu.co</t>
  </si>
  <si>
    <t>LOZANO PORTOCARRERO, MARIA CAMILA</t>
  </si>
  <si>
    <t>camilalozano@javerianacali.edu.co</t>
  </si>
  <si>
    <t>B2*</t>
  </si>
  <si>
    <t>DIAZ SANTACRUZ, DAVID GUSTAVO</t>
  </si>
  <si>
    <t>davidds@javerianacali.edu.co</t>
  </si>
  <si>
    <t>OSORIO ROJAS, JUAN JOSE</t>
  </si>
  <si>
    <t>jjuanjoseosorio@javerianacali.edu.co</t>
  </si>
  <si>
    <t>B3*</t>
  </si>
  <si>
    <t>Velasco Hurtado, Adrian Esteban</t>
  </si>
  <si>
    <t>adrishark@javerianacali.edu.co</t>
  </si>
  <si>
    <t>GAITAN TORRES, DIANA ALEJANDRA</t>
  </si>
  <si>
    <t>dianag25@javerianacali.edu.co</t>
  </si>
  <si>
    <t>B4*</t>
  </si>
  <si>
    <t>CABRERA JIMENEZ, LUISA MARIA</t>
  </si>
  <si>
    <t>luisaluisa123@javerianacali.edu.co</t>
  </si>
  <si>
    <t>HERRERA PRIETO, ANA MARIA</t>
  </si>
  <si>
    <t>anaherrera31@javerianacali.edu.co</t>
  </si>
  <si>
    <t>A10</t>
  </si>
  <si>
    <t>B5*</t>
  </si>
  <si>
    <t>ECHEVERRI ZULETA, ISABELA</t>
  </si>
  <si>
    <t>isabelaecheverri@javerianacali.edu.co</t>
  </si>
  <si>
    <t>JARAMILLO ARANGO, CATALINA</t>
  </si>
  <si>
    <t>catalinajr@javerianacali.edu.co</t>
  </si>
  <si>
    <t>B6*</t>
  </si>
  <si>
    <t>BETANCOURT SAENZ, SARA VALENTINA</t>
  </si>
  <si>
    <t>sarabetan06@javerianacali.edu.co</t>
  </si>
  <si>
    <t>ARBOLEDA CORREA, SOFIA</t>
  </si>
  <si>
    <t>sofiaarboleda@javerianacali.edu.co</t>
  </si>
  <si>
    <t>ERASO CHECA, NATALIA</t>
  </si>
  <si>
    <t>nataliaechk19@javerianacali.edu.co</t>
  </si>
  <si>
    <t>QUIÑONES URREA, MARIA DE LOS ANGELES</t>
  </si>
  <si>
    <t>mariaqu08@javerianacali.edu.co</t>
  </si>
  <si>
    <t>GIRALDO HOYOS, KAREN TATIANA</t>
  </si>
  <si>
    <t>karen69921@javerianacali.edu.co</t>
  </si>
  <si>
    <t>RODRIGUEZ GARCIA, SARA SOFIA</t>
  </si>
  <si>
    <t>sara19350068@javerianacali.edu.co</t>
  </si>
  <si>
    <t>HERRERA GONZALEZ, JUAN PABLO</t>
  </si>
  <si>
    <t>juanherrerag@javerianacali.edu.co</t>
  </si>
  <si>
    <t xml:space="preserve">BERTEL AYALA, JORGE </t>
  </si>
  <si>
    <t>jbertelayala@javerianacali.edu.co</t>
  </si>
  <si>
    <t>GUEVARA PEREZ, MARIANA</t>
  </si>
  <si>
    <t>1058932272@javerianacali.edu.co</t>
  </si>
  <si>
    <t>NINA AGUILAR, DAVID ANDRES</t>
  </si>
  <si>
    <t>0.nina.david@gmail.com</t>
  </si>
  <si>
    <t>ESCOBAR ANDRADE, MARIA JOSE</t>
  </si>
  <si>
    <t>mariajoseescobar9@javerianacali.edu.co</t>
  </si>
  <si>
    <t>BUSI CHOCO, YADIRA MARCELA</t>
  </si>
  <si>
    <t>yadiramarcelabusi@javerianacali.edu.co</t>
  </si>
  <si>
    <t>ARIZABALETA NARANJO, FEDERICO</t>
  </si>
  <si>
    <t>arizabaleta84@javerianacali.edu.co</t>
  </si>
  <si>
    <t>ARCOS WOODCOCH, ANGELA MARIA</t>
  </si>
  <si>
    <t>amarcos@javerianacali.edu.co</t>
  </si>
  <si>
    <t>VILLANI VALENCIA, MARIANA ISABEL</t>
  </si>
  <si>
    <t>mivillaniv@javerianacali.edu.co</t>
  </si>
  <si>
    <t>CARVAJAL ROMERO, MARIA PAULA</t>
  </si>
  <si>
    <t>mariapaula04@javerianacali.edu.co</t>
  </si>
  <si>
    <t>MUÑOZ QUIROGA, ISABELLA</t>
  </si>
  <si>
    <t>isamq0@javerianacali.edu.co</t>
  </si>
  <si>
    <t>GOMEZ MORA, MARIANA</t>
  </si>
  <si>
    <t>marianagomezm@javerianacali.edu.co</t>
  </si>
  <si>
    <t>MOLINA MAYA, ANGELA MARIA</t>
  </si>
  <si>
    <t>angelamariamolina@javerianacali.edu.co</t>
  </si>
  <si>
    <t>MOLINA GOMEZ, ISABELLA</t>
  </si>
  <si>
    <t>imolinag@javerianacali.edu.co</t>
  </si>
  <si>
    <t>HERRERA BARBOSA, CATALINA</t>
  </si>
  <si>
    <t>catalinaherrerab@javerianacali.edu.co</t>
  </si>
  <si>
    <t>BARBOSA PEÑA, DANNA BRIGETH</t>
  </si>
  <si>
    <t>dannabarbosa06@javerianacali.edu.co</t>
  </si>
  <si>
    <t>RIVERA MONTILLA, MARIA CAMILA</t>
  </si>
  <si>
    <t>camilarivera@javerianacali.edu.co</t>
  </si>
  <si>
    <t>Pascuaza Cabrera, Laura Marcela</t>
  </si>
  <si>
    <t>laurapascuaza02@javerianacali.edu.co</t>
  </si>
  <si>
    <t>ARCILA ORTEGA, SOFIA</t>
  </si>
  <si>
    <t>sofia2005@javerianacali.edu.co</t>
  </si>
  <si>
    <t>GIRALDO GIRALDO, MARIA ANDREA</t>
  </si>
  <si>
    <t>mariagiraldog@javerianacali.edu.co</t>
  </si>
  <si>
    <t>GARCIA TORRES, DIEGO ANDRES</t>
  </si>
  <si>
    <t>diegogarcia2003@javerianacali.edu.co</t>
  </si>
  <si>
    <t>RODRIGUEZ ARIZABALETA, JUAN DAVID</t>
  </si>
  <si>
    <t>juandavidra8484@yahoo.es</t>
  </si>
  <si>
    <t>LOPEZ SOFFIA, NATALIA</t>
  </si>
  <si>
    <t>natalialopez@javerianacali.edu.co</t>
  </si>
  <si>
    <t>QUINTERO CASTAÑO, LAURA SOFIA</t>
  </si>
  <si>
    <t>lauraquintero11@javerianacali.edu.co</t>
  </si>
  <si>
    <t>CASABON MARTINEZ, JUAN CAMILO</t>
  </si>
  <si>
    <t>juancamilo21@javerianacali.edu.co</t>
  </si>
  <si>
    <t>GUERRERO BELALCAZAR, KAREN MARGARITA</t>
  </si>
  <si>
    <t>kmguerrero@javerianacali.edu.co</t>
  </si>
  <si>
    <t>PERILLA LOPEZ, MARIANA</t>
  </si>
  <si>
    <t>mariperilla2210@javerianacali.edu.co</t>
  </si>
  <si>
    <t>CEBALLOS POZUECO, VALENTINA</t>
  </si>
  <si>
    <t>valentinapozueco@javerianacali.edu.co</t>
  </si>
  <si>
    <t>MEDICINA INTERNA II - U. JAVERIANA CALI</t>
  </si>
  <si>
    <t>martes  8 1</t>
  </si>
  <si>
    <t>HOSPI</t>
  </si>
  <si>
    <t>C. Versalles Martín Ocampo</t>
  </si>
  <si>
    <t>C. Rey David  Mario Llanos</t>
  </si>
  <si>
    <t xml:space="preserve">Martes a viernes </t>
  </si>
  <si>
    <t>C. Comfenalco 1 Dr. Salgado</t>
  </si>
  <si>
    <t>C. Comfenalco 2 Dra Mayor</t>
  </si>
  <si>
    <t>13 - 21</t>
  </si>
  <si>
    <t>22 - 30</t>
  </si>
  <si>
    <t>3 - 11</t>
  </si>
  <si>
    <t>12 - 20</t>
  </si>
  <si>
    <t>24 - 4</t>
  </si>
  <si>
    <t>5 - 13</t>
  </si>
  <si>
    <t>17 - 20</t>
  </si>
  <si>
    <t>24 - 8</t>
  </si>
  <si>
    <t>9 - 17</t>
  </si>
  <si>
    <t>21 - 29</t>
  </si>
  <si>
    <t>30 - 8</t>
  </si>
  <si>
    <t>2 - 5</t>
  </si>
  <si>
    <t>ESPECIALIDADES</t>
  </si>
  <si>
    <r>
      <t>CARDIO</t>
    </r>
    <r>
      <rPr>
        <b/>
        <sz val="10"/>
        <rFont val="Calibri"/>
        <family val="2"/>
      </rPr>
      <t xml:space="preserve"> </t>
    </r>
    <r>
      <rPr>
        <sz val="10"/>
        <rFont val="Calibri"/>
        <family val="2"/>
      </rPr>
      <t>(Colombia) (1,5 Sem)</t>
    </r>
  </si>
  <si>
    <t>Evaluaciones</t>
  </si>
  <si>
    <t>NEURO Clínica Nueva (1,5 Sem)</t>
  </si>
  <si>
    <t>URGENCIAS - C. Nueva</t>
  </si>
  <si>
    <r>
      <rPr>
        <sz val="10"/>
        <color rgb="FF000000"/>
        <rFont val="Calibri"/>
        <family val="2"/>
      </rPr>
      <t xml:space="preserve">Dermato (H. JPB - ESE Norte) </t>
    </r>
    <r>
      <rPr>
        <sz val="10"/>
        <color rgb="FFFF0000"/>
        <rFont val="Calibri"/>
        <family val="2"/>
      </rPr>
      <t>Jueves 7 a 3pm</t>
    </r>
  </si>
  <si>
    <t>B5 + B5*</t>
  </si>
  <si>
    <t>B4 + B4*</t>
  </si>
  <si>
    <t>B6 + B6*</t>
  </si>
  <si>
    <t>B2 + B2*</t>
  </si>
  <si>
    <t>B1 + B1*</t>
  </si>
  <si>
    <t>B3 + B3*</t>
  </si>
  <si>
    <t>URGENCIAS - C. Versalles</t>
  </si>
  <si>
    <t xml:space="preserve">GERIATRÍA C. Rey David (1,5 Sem) Francisco Tamayo </t>
  </si>
  <si>
    <t xml:space="preserve">GERIATRÍA Cottolengo (1,5 Sem)  Francisco Tamayo </t>
  </si>
  <si>
    <r>
      <t xml:space="preserve">9 SEMANAS DE PRÁCTICA - </t>
    </r>
    <r>
      <rPr>
        <b/>
        <sz val="20"/>
        <color rgb="FFFF0000"/>
        <rFont val="Calibri"/>
        <family val="2"/>
      </rPr>
      <t>1 SEMANA EV. FINALES ESPECIALIDADES</t>
    </r>
  </si>
  <si>
    <t>3 semanas</t>
  </si>
  <si>
    <r>
      <t>Cardiología</t>
    </r>
    <r>
      <rPr>
        <b/>
        <sz val="10"/>
        <color rgb="FFFF0000"/>
        <rFont val="Calibri"/>
        <family val="2"/>
      </rPr>
      <t xml:space="preserve"> (1,5 ss)</t>
    </r>
    <r>
      <rPr>
        <b/>
        <sz val="10"/>
        <rFont val="Calibri"/>
        <family val="2"/>
      </rPr>
      <t xml:space="preserve">. </t>
    </r>
    <r>
      <rPr>
        <b/>
        <sz val="10"/>
        <color rgb="FFFF0000"/>
        <rFont val="Calibri"/>
        <family val="2"/>
      </rPr>
      <t>Todo el Subgrupo</t>
    </r>
  </si>
  <si>
    <t>Neuro (1,5 ss). Todo el Subgrupo</t>
  </si>
  <si>
    <t>UrgenciasAM/Dermato y PUJ PM</t>
  </si>
  <si>
    <t xml:space="preserve">Geriatría </t>
  </si>
  <si>
    <t>Cl. Colombia</t>
  </si>
  <si>
    <t>Cl. Nueva (Comfenalco)</t>
  </si>
  <si>
    <t>Cl. Nueva (Comfenalco) -ESPEJO. 3ss. Mitad del subGrupo</t>
  </si>
  <si>
    <t>Versalles- ESPEJO. 3ss. Mitad del subGrupo</t>
  </si>
  <si>
    <t>HJPB (H. Joaquín Paz Borrero). SOLO JUEVES</t>
  </si>
  <si>
    <t>Hospitalización (Cl. Rey David) 1 ss Un tercio del subgrupo</t>
  </si>
  <si>
    <t>Cottolengo. 1 ss Un tercio del subgrupo</t>
  </si>
  <si>
    <t>(AM)</t>
  </si>
  <si>
    <t>Grupo de Cardiología (Dres.Juan Santiago  Villadiego, Miled Gómez. Dras. Leidy Tatiana Peña y Coral Karen )</t>
  </si>
  <si>
    <t>Jose M. Cárdenas (INTERCONSULTAS)</t>
  </si>
  <si>
    <t>Edwin Ochoa</t>
  </si>
  <si>
    <t>Emmanuel Orjuela</t>
  </si>
  <si>
    <r>
      <rPr>
        <sz val="10"/>
        <color rgb="FF000000"/>
        <rFont val="Calibri"/>
        <family val="2"/>
      </rPr>
      <t>Francisco  Tamayo, Juan Pablo Castro, Liliana Villegas (CASO CLÍNICO INTEGRADOR).</t>
    </r>
    <r>
      <rPr>
        <b/>
        <sz val="10"/>
        <color rgb="FF000000"/>
        <rFont val="Calibri"/>
        <family val="2"/>
      </rPr>
      <t xml:space="preserve"> TODO EL SUBGRUPO Rey David</t>
    </r>
  </si>
  <si>
    <t>(PM)</t>
  </si>
  <si>
    <r>
      <t xml:space="preserve"> REV. DE TEMA. Montero/Miled
 </t>
    </r>
    <r>
      <rPr>
        <sz val="10"/>
        <color rgb="FFFF0000"/>
        <rFont val="Calibri"/>
        <family val="2"/>
      </rPr>
      <t>(CSMF/PUJ)</t>
    </r>
  </si>
  <si>
    <t xml:space="preserve"> REV. DE TEMA. Sebastian Martinez (CSMF)</t>
  </si>
  <si>
    <t>H. SIMULADO Mauricio Valencia (urgencias Neuro). TODO EL SUBGRUPO</t>
  </si>
  <si>
    <r>
      <t xml:space="preserve">Rev Tema Tamayo (PUJ).  </t>
    </r>
    <r>
      <rPr>
        <b/>
        <sz val="10"/>
        <rFont val="Calibri"/>
        <family val="2"/>
      </rPr>
      <t>TODO EL SUBGRUPO</t>
    </r>
  </si>
  <si>
    <t>Grupo de Cardiología (Dres. Villadiego, Montero. Gómez. Dras. Peña y Coral)</t>
  </si>
  <si>
    <t>H. Simulado Francisco Tamayo (PUJ)</t>
  </si>
  <si>
    <t>Juan Pablo Castro</t>
  </si>
  <si>
    <t>Liliana Villegas</t>
  </si>
  <si>
    <t xml:space="preserve">Grupo de Neurología REV. DE TEMA. Sebastian Martinez (CSMF)	</t>
  </si>
  <si>
    <r>
      <rPr>
        <sz val="10"/>
        <rFont val="Aptos Narrow (Cuerpo)"/>
      </rPr>
      <t>H.Simulado</t>
    </r>
    <r>
      <rPr>
        <sz val="10"/>
        <rFont val="Calibri"/>
        <family val="2"/>
        <scheme val="minor"/>
      </rPr>
      <t xml:space="preserve"> Javier Danilo Salazar (PUJ). TODO EL SUBGRUPO</t>
    </r>
  </si>
  <si>
    <t>tiempo de estudio independiente</t>
  </si>
  <si>
    <t>H. Simulado (PUJ). Liliana Villegas</t>
  </si>
  <si>
    <t>J</t>
  </si>
  <si>
    <t>Jose M. Cárdenas (INTERCONSULTAS AM, CONSULTA PM)</t>
  </si>
  <si>
    <r>
      <t>Gustavo Espinosa</t>
    </r>
    <r>
      <rPr>
        <b/>
        <sz val="10"/>
        <rFont val="Calibri"/>
        <family val="2"/>
      </rPr>
      <t xml:space="preserve"> TODO EL SUBGRUPO</t>
    </r>
    <r>
      <rPr>
        <sz val="10"/>
        <rFont val="Calibri"/>
        <family val="2"/>
      </rPr>
      <t xml:space="preserve"> PRESENCIAL. 7am-3PM</t>
    </r>
  </si>
  <si>
    <t>Francisco  Tamayo</t>
  </si>
  <si>
    <t xml:space="preserve"> Geovanna Ayala (todos Virtual REVISIÓN DE TEMA 5-7PM) TODO EL SUBGRUPO</t>
  </si>
  <si>
    <t>V</t>
  </si>
  <si>
    <r>
      <rPr>
        <b/>
        <sz val="10"/>
        <rFont val="Calibri"/>
        <family val="2"/>
      </rPr>
      <t>CUIDADOS PALIATIVOS</t>
    </r>
    <r>
      <rPr>
        <sz val="10"/>
        <rFont val="Calibri"/>
        <family val="2"/>
      </rPr>
      <t xml:space="preserve"> (Dres. Julián Agudelo, Tatiana Pineda, Victoria Constain, Jorge Espinel)  VIRTUAL y presencial (CSMF o Javesalud) -según esquema </t>
    </r>
    <r>
      <rPr>
        <b/>
        <sz val="10"/>
        <color rgb="FFFF0000"/>
        <rFont val="Calibri"/>
        <family val="2"/>
      </rPr>
      <t>TODO EL GRUPO</t>
    </r>
  </si>
  <si>
    <t>HOSPITALIZACIÓN+SIMULACIÓN. 10 SEMANAS</t>
  </si>
  <si>
    <t>HOSPITALIZACIÓN. 10 SEMANAS</t>
  </si>
  <si>
    <t xml:space="preserve"> Martín Ocampo</t>
  </si>
  <si>
    <t xml:space="preserve">Viviana Mayor </t>
  </si>
  <si>
    <t xml:space="preserve">Carlos Salgado </t>
  </si>
  <si>
    <t>Mario Llanos</t>
  </si>
  <si>
    <r>
      <rPr>
        <sz val="10"/>
        <color rgb="FFFF0000"/>
        <rFont val="Calibri"/>
        <family val="2"/>
      </rPr>
      <t>HOSP. SIMULADO</t>
    </r>
    <r>
      <rPr>
        <sz val="10"/>
        <rFont val="Calibri"/>
        <family val="2"/>
      </rPr>
      <t xml:space="preserve"> Mónica Patiño/Myli Solarte</t>
    </r>
  </si>
  <si>
    <t>PM</t>
  </si>
  <si>
    <r>
      <t xml:space="preserve">Rev. De Tema. Salón </t>
    </r>
    <r>
      <rPr>
        <sz val="10"/>
        <color rgb="FFFF0000"/>
        <rFont val="Calibri"/>
        <family val="2"/>
      </rPr>
      <t>PUJ o CSMF</t>
    </r>
    <r>
      <rPr>
        <sz val="10"/>
        <rFont val="Calibri"/>
        <family val="2"/>
      </rPr>
      <t xml:space="preserve"> (Nutrición, Terapéutica Médica, etc) </t>
    </r>
    <r>
      <rPr>
        <b/>
        <sz val="10"/>
        <rFont val="Calibri"/>
        <family val="2"/>
      </rPr>
      <t>4 sesiones cada uno</t>
    </r>
  </si>
  <si>
    <t>Martín Ocampo</t>
  </si>
  <si>
    <t>Guillermo Ayala</t>
  </si>
  <si>
    <r>
      <rPr>
        <sz val="10"/>
        <color rgb="FFFF0000"/>
        <rFont val="Calibri"/>
        <family val="2"/>
      </rPr>
      <t>HOSP. SIMULADO</t>
    </r>
    <r>
      <rPr>
        <sz val="10"/>
        <rFont val="Calibri"/>
        <family val="2"/>
      </rPr>
      <t xml:space="preserve"> Mónica Patiño /Mily Solarte</t>
    </r>
  </si>
  <si>
    <r>
      <t xml:space="preserve">Casos Integradores (Mónica Patiño /Mily Solarte/Diana Henao/David Tamura) </t>
    </r>
    <r>
      <rPr>
        <sz val="10"/>
        <color rgb="FFFF0000"/>
        <rFont val="Calibri"/>
        <family val="2"/>
      </rPr>
      <t>PUJ</t>
    </r>
  </si>
  <si>
    <t xml:space="preserve">PEDIATRÍA JAVERIANA Martes a viernes en el horario de 8am a 12m. </t>
  </si>
  <si>
    <t>Diaz Palomino, Julian Camilo</t>
  </si>
  <si>
    <t>julian2703@javerianacali.edu.co</t>
  </si>
  <si>
    <t>Hurtado Chucrala, Jose Fernando</t>
  </si>
  <si>
    <t>josehurtado2002@javerianacali.edu.co</t>
  </si>
  <si>
    <t>Anzola Largo, Maria Alejandra</t>
  </si>
  <si>
    <t>maanzola@javerianacali.edu.co</t>
  </si>
  <si>
    <t>Posso Mazuera, Juan Jose</t>
  </si>
  <si>
    <t>juanjoseposso910@javerianacali.edu.co</t>
  </si>
  <si>
    <t>Lopez Andrade, Luis Felipe</t>
  </si>
  <si>
    <t>luisfelipe36@javerianacali.edu.co</t>
  </si>
  <si>
    <t>Rodriguez Pantoja, Maria Natalia</t>
  </si>
  <si>
    <t>nataliarodriguez15@javerianacali.edu.co</t>
  </si>
  <si>
    <t>Gonzalez Cañon, Juan Esteban</t>
  </si>
  <si>
    <t>juanes0809@javerianacali.edu.co</t>
  </si>
  <si>
    <t>Saa Dorado, Maria Conchita</t>
  </si>
  <si>
    <t>mariaconchita26@javerianacali.edu.co</t>
  </si>
  <si>
    <t>Herrera Zea, Daniela</t>
  </si>
  <si>
    <t>danielaherrerazea24@javerianacali.edu.co</t>
  </si>
  <si>
    <t>Corzo Largo, Isabella</t>
  </si>
  <si>
    <t>isabellacorzo@javerianacali.edu.co</t>
  </si>
  <si>
    <t>Morales Santos, Maria Camila</t>
  </si>
  <si>
    <t>mcmorales@javerianacali.edu.co</t>
  </si>
  <si>
    <t>Morante Morales, Maria Antonia</t>
  </si>
  <si>
    <t>mamorante@javerianacali.edu.co</t>
  </si>
  <si>
    <t>Torres Tejada, Catalina</t>
  </si>
  <si>
    <t>ctorresrt@javerianacali.edu.co</t>
  </si>
  <si>
    <t>Salazar Gomez, Laura Sofia</t>
  </si>
  <si>
    <t>lssalazar@javerianacali.edu.co</t>
  </si>
  <si>
    <t>Restrepo Carvajal, Lorenzo</t>
  </si>
  <si>
    <t>lorenzorestrepoc@javerianacali.edu.co</t>
  </si>
  <si>
    <t>Salamanca Martinez, Carlos Arturo</t>
  </si>
  <si>
    <t>carlossalamanca@javerianacali.edu.co</t>
  </si>
  <si>
    <t>Cardona Perez, Isabella</t>
  </si>
  <si>
    <t>isabellacp11@javerianacali.edu.co</t>
  </si>
  <si>
    <t>Jaramillo Andrade, Catalina</t>
  </si>
  <si>
    <t>catajara215@javerianacali.edu.co</t>
  </si>
  <si>
    <t>Alegria Valencia, Maria Paula</t>
  </si>
  <si>
    <t>mpalegria@javerianacali.edu.co</t>
  </si>
  <si>
    <t>Sarria Hurtado, Sara</t>
  </si>
  <si>
    <t>ssarria22@javerianacali.edu.co</t>
  </si>
  <si>
    <t>Villamil Angel, Maria Jose</t>
  </si>
  <si>
    <t>mjvillamil@javerianacali.edu.co</t>
  </si>
  <si>
    <t>Meneses Cosme, Lina Natalia</t>
  </si>
  <si>
    <t>lnmeneses@javerianacali.edu.co</t>
  </si>
  <si>
    <t>Carvajal Sanchez, Leidy Lorena</t>
  </si>
  <si>
    <t>llcarvajal@javerianacali.edu.co</t>
  </si>
  <si>
    <t>Muñoz Daza, Juan Sebastian</t>
  </si>
  <si>
    <t>jsmunoz22@javerianacali.edu.co</t>
  </si>
  <si>
    <t>Zambrano Pantoja, Laura Isabel</t>
  </si>
  <si>
    <t>lizambrano@javerianacali.edu.co</t>
  </si>
  <si>
    <t>Meneses Arias, Andrea</t>
  </si>
  <si>
    <t>ameneses22@javerianacali.edu.co</t>
  </si>
  <si>
    <t>Gonzalez Sanchez, Valeria</t>
  </si>
  <si>
    <t>vxlria@javerianacali.edu.co</t>
  </si>
  <si>
    <t>Acosta Rodas, Laura Sofia</t>
  </si>
  <si>
    <t>lauraacosta@javerianacali.edu.co</t>
  </si>
  <si>
    <t>López Valencia, Isabella</t>
  </si>
  <si>
    <t>isalopez2003@javerianacali.edu.co</t>
  </si>
  <si>
    <t>Rubio Rojas, Paula Isabella</t>
  </si>
  <si>
    <t>isabella111@javerianacali.edu.co</t>
  </si>
  <si>
    <t>Giraldo Erazo, Laura Sofia</t>
  </si>
  <si>
    <t>lauragiraldo054@javerianacali.edu.co</t>
  </si>
  <si>
    <t>Escobar Bustos, Maria Camila</t>
  </si>
  <si>
    <t>mariacamilae28@javerianacali.edu.co</t>
  </si>
  <si>
    <t>Caicedo Vaca, Maria Alejandra</t>
  </si>
  <si>
    <t>mcaicedovaca2006@javerianacali.edu.co</t>
  </si>
  <si>
    <t>Rojas Ramirez, Santiago Jose</t>
  </si>
  <si>
    <t>santijro0520@javerianacali.edu.co</t>
  </si>
  <si>
    <t>Villalobos Bocanegra, Juliana</t>
  </si>
  <si>
    <t>julianavilla@javerianacali.edu.co</t>
  </si>
  <si>
    <t>Cuellar Medina, Mariana</t>
  </si>
  <si>
    <t>marianacuellarm@javerianacali.edu.co</t>
  </si>
  <si>
    <t>Urrego Manchola, Isabella</t>
  </si>
  <si>
    <t>isaurregom@javerianacali.edu.co</t>
  </si>
  <si>
    <t>Caicedo Muñoz, Alejandro</t>
  </si>
  <si>
    <t>alecamu@javerianacali.edu.co</t>
  </si>
  <si>
    <t>Mejía Muñoz, Bianca</t>
  </si>
  <si>
    <t>bmejia22@javerianacali.edu.co</t>
  </si>
  <si>
    <t>Enero 16</t>
  </si>
  <si>
    <t>Hurtado Garcia, Maria Alejandra</t>
  </si>
  <si>
    <t>malejandrah25@javerianacali.edu.co</t>
  </si>
  <si>
    <t>Garcia Ospina, Juliana</t>
  </si>
  <si>
    <t>julianagarciao11@javerianacali.edu.co</t>
  </si>
  <si>
    <t>Sanclemente Calle, Valentina</t>
  </si>
  <si>
    <t>valentinasanclemente@javerianacali.edu.co</t>
  </si>
  <si>
    <t>Manrique Mazuera, Sebastian</t>
  </si>
  <si>
    <t>semanrique@javerianacali.edu.co</t>
  </si>
  <si>
    <t>Ortega Zuñiga, Carlos Felipe</t>
  </si>
  <si>
    <t>carlos20012006@javerianacali.edu.co</t>
  </si>
  <si>
    <t>Londoño Rojas, Laura Sofia</t>
  </si>
  <si>
    <t>lslondono@javerianacali.edu.co</t>
  </si>
  <si>
    <t>Hernandez Lopez, Thomas</t>
  </si>
  <si>
    <t>thomashernandez16@javerianacali.edu.co</t>
  </si>
  <si>
    <t>Moreno Jimenez, Maria Camila</t>
  </si>
  <si>
    <t>mcamilamoreno1810@javerianacali.edu.co</t>
  </si>
  <si>
    <t>Linero Rodriguez, Santiago</t>
  </si>
  <si>
    <t>slinero8@javerianacali.edu.co</t>
  </si>
  <si>
    <t>Castaño Alban, Paloma</t>
  </si>
  <si>
    <t>palomacastanoa@javerianacali.edu.co</t>
  </si>
  <si>
    <t>Hormaza Mora, Daniela</t>
  </si>
  <si>
    <t>danielahormaza22@javerianacali.edu.co</t>
  </si>
  <si>
    <t>Ayala Quintero, Juan Camilo</t>
  </si>
  <si>
    <t>camiloayala@javerianacali.edu.co</t>
  </si>
  <si>
    <t>Rodriguez Galindo, Juan Jose</t>
  </si>
  <si>
    <t>juanjorodri0309@javerianacali.edu.co</t>
  </si>
  <si>
    <t>Escobar Bermudez, Daniel</t>
  </si>
  <si>
    <t>danielescobar0212@javerianacali.edu.co</t>
  </si>
  <si>
    <t>Reyes Leyton, Cristian Alexander</t>
  </si>
  <si>
    <t>cristianreyesleyton@javerianacali.edu.co</t>
  </si>
  <si>
    <t>Gomez Rivera, Mariana</t>
  </si>
  <si>
    <t>marianag1@javerianacali.edu.co</t>
  </si>
  <si>
    <t>Gomez Rivera, Santiago</t>
  </si>
  <si>
    <t>santigr6@javerianacali.edu.co</t>
  </si>
  <si>
    <t>ROTACIÓN</t>
  </si>
  <si>
    <t>LUGAR DE ROTACIÓN</t>
  </si>
  <si>
    <t>Enero 13 a Febrero 6</t>
  </si>
  <si>
    <t>Febrero 10 a Marzo 6</t>
  </si>
  <si>
    <t>Marzo 10 a Abril 10</t>
  </si>
  <si>
    <t>Abril 14 a Mayo 8</t>
  </si>
  <si>
    <t>Mayo 12 a Junio 5</t>
  </si>
  <si>
    <t>En Club Noel rotan solo los martes en Cosnulta externa</t>
  </si>
  <si>
    <t>CONSULTA EXTERNA</t>
  </si>
  <si>
    <t>ESE Norte (Popular - Rivera - H. Joaquin Paz Borrero)</t>
  </si>
  <si>
    <t>ESE Ladera (Siloé - Primero de Mayo)</t>
  </si>
  <si>
    <t>HOSPITALIZACION</t>
  </si>
  <si>
    <t>CLINICA VERSALLES</t>
  </si>
  <si>
    <t>HOSPITAL CLUB NOEL</t>
  </si>
  <si>
    <t>URGENCIAS</t>
  </si>
  <si>
    <t>RECIEN NACIDOS</t>
  </si>
  <si>
    <t>CLÍNICA NUEVA</t>
  </si>
  <si>
    <t>CANGURO</t>
  </si>
  <si>
    <t>CASA CANGURO ALFA</t>
  </si>
  <si>
    <t>ESQUEMA SEMANAL PEDIATRÍA</t>
  </si>
  <si>
    <t>Rotación</t>
  </si>
  <si>
    <t>Franja</t>
  </si>
  <si>
    <t>Escenario</t>
  </si>
  <si>
    <t>Martes</t>
  </si>
  <si>
    <t>Miércoles</t>
  </si>
  <si>
    <t>Jueves</t>
  </si>
  <si>
    <t>Viernes</t>
  </si>
  <si>
    <t>Consulta Externa</t>
  </si>
  <si>
    <t>AM</t>
  </si>
  <si>
    <t>ESE Ladera</t>
  </si>
  <si>
    <t>Edward Diaz - 
Siloé</t>
  </si>
  <si>
    <t>Club Noel</t>
  </si>
  <si>
    <t>Ricard Londoño - Neuro</t>
  </si>
  <si>
    <t>Gilberto Lotero - Cx. Pediátrica</t>
  </si>
  <si>
    <t>ESE Norte</t>
  </si>
  <si>
    <t>Alfredo Lineros - Popular</t>
  </si>
  <si>
    <t>Gladys Basante - HJPB</t>
  </si>
  <si>
    <t>Lina Montaño - Rivera</t>
  </si>
  <si>
    <t>Alfredo Lineros - Primero de Mayo</t>
  </si>
  <si>
    <t>C. Versalles</t>
  </si>
  <si>
    <t>Ricardo Murgas</t>
  </si>
  <si>
    <t>Jose Fernando Gomez</t>
  </si>
  <si>
    <t>Juan Pablo Rojas</t>
  </si>
  <si>
    <t>Ana María Fernandez</t>
  </si>
  <si>
    <t>Urgencias</t>
  </si>
  <si>
    <t>Jairo Alarcón</t>
  </si>
  <si>
    <t>Maria Isabel Rodriguez</t>
  </si>
  <si>
    <t>Andres Hedmond</t>
  </si>
  <si>
    <t>Recién Nacidos</t>
  </si>
  <si>
    <t>Enid gómez</t>
  </si>
  <si>
    <t>Gerardo Fernandez</t>
  </si>
  <si>
    <t>C. Nueva</t>
  </si>
  <si>
    <t>Carlos Contreras</t>
  </si>
  <si>
    <t>Catalina Medina</t>
  </si>
  <si>
    <t>Sergio Palau</t>
  </si>
  <si>
    <t>Canguro</t>
  </si>
  <si>
    <t>Casa Canguro</t>
  </si>
  <si>
    <t>Juan Carlos Arias</t>
  </si>
  <si>
    <t>Adriana Quiroga</t>
  </si>
  <si>
    <t>Juan Carlos Arias / Alfredo Lineros</t>
  </si>
  <si>
    <t>GINECOBSTETRICIA - UROLOGÍA - ANESTESIA</t>
  </si>
  <si>
    <t>IX Semestre</t>
  </si>
  <si>
    <t>N°</t>
  </si>
  <si>
    <t>Gineco - Anestesio</t>
  </si>
  <si>
    <t>Urología</t>
  </si>
  <si>
    <t>ID Empleado</t>
  </si>
  <si>
    <t>ASTUDILLO ROJAS, ALEXANDRA</t>
  </si>
  <si>
    <t>aastudillo04@javerianacali.edu.co</t>
  </si>
  <si>
    <t>ESCOBAR FIGUEROA, ANDRES FELIPE</t>
  </si>
  <si>
    <t>afescobar22@javerianacali.edu.co</t>
  </si>
  <si>
    <t>ORTIZ MARQUEZ, JULIANA</t>
  </si>
  <si>
    <t>julianaom09@javerianacali.edu.co</t>
  </si>
  <si>
    <t>CERON CASTRO, JUAN MANUEL</t>
  </si>
  <si>
    <t>juanmaceroncastro@javerianacali.edu.co</t>
  </si>
  <si>
    <t>GONZALEZ SPITTIA, MARIA JOSE</t>
  </si>
  <si>
    <t>mjgonzalez22@javerianacali.edu.co</t>
  </si>
  <si>
    <t>LLINAS EUSSE, NATALIA CAROLINA</t>
  </si>
  <si>
    <t>ncllinas@javerianacali.edu.co</t>
  </si>
  <si>
    <t>TORRES RINCON, JULIAN</t>
  </si>
  <si>
    <t>jtorres22@javerianacali.edu.co</t>
  </si>
  <si>
    <t>ARANGO BLANCO, DIANA ALEJANDRA</t>
  </si>
  <si>
    <t>dianasaraorbit@javerianacali.edu.co</t>
  </si>
  <si>
    <t>A2*</t>
  </si>
  <si>
    <t>HERRERA ROJAS, MARIANA</t>
  </si>
  <si>
    <t>marianaherrera@javerianacali.edu.co</t>
  </si>
  <si>
    <t>C1</t>
  </si>
  <si>
    <t>BARRIOS VARGAS, ISABELLA</t>
  </si>
  <si>
    <t>isabellabarrios09@javerianacali.edu.co</t>
  </si>
  <si>
    <t>C2</t>
  </si>
  <si>
    <t>VARGAS CAICEDO, MARIA JOSE</t>
  </si>
  <si>
    <t>mjvargas@javerianacali.edu.co</t>
  </si>
  <si>
    <t>C3</t>
  </si>
  <si>
    <t>CADAVID SATIZABAL, JUAN SEBASTIAN</t>
  </si>
  <si>
    <t>jsc0911@javerianacali.edu.co</t>
  </si>
  <si>
    <t>C4</t>
  </si>
  <si>
    <t>HIDALGO DELGADO, JUAN PABLO</t>
  </si>
  <si>
    <t>juanpablohidalgo@javerianacali.edu.co</t>
  </si>
  <si>
    <t>MUÑOZ MALDONADO, JUAN MANUEL</t>
  </si>
  <si>
    <t>jmmunoz22@javerianacali.edu.co</t>
  </si>
  <si>
    <t>GARCIA RUBIANO, VALERIA</t>
  </si>
  <si>
    <t>valeriagarcia28@javerianacali.edu.co</t>
  </si>
  <si>
    <t>ESPINOZA SANCHEZ, SANTIAGO FERNANDO</t>
  </si>
  <si>
    <t>sfespinoza@javerianacali.edu.co</t>
  </si>
  <si>
    <t>CHAVARRO HERNANDEZ, VALERIA</t>
  </si>
  <si>
    <t>vchavarro22@javerianacali.edu.co</t>
  </si>
  <si>
    <t>RENDON HERRERA, MANUELA</t>
  </si>
  <si>
    <t>manuelarendon1308@javerianacali.edu.co</t>
  </si>
  <si>
    <t>A4*</t>
  </si>
  <si>
    <t>AQIL TEZNA, MARIAM SAFYEH</t>
  </si>
  <si>
    <t>mariamaqil@javerianacali.edu.co</t>
  </si>
  <si>
    <t>SANDOVAL BARRIOS, LAURA CAMILA</t>
  </si>
  <si>
    <t>lcsandoval@javerianacali.edu.co</t>
  </si>
  <si>
    <t>PORTOCARRERO DELGADO, ALEJANDRA</t>
  </si>
  <si>
    <t>alejaporto@javerianacali.edu.co</t>
  </si>
  <si>
    <t>BORRERO GARCIA, ANA MARGARITA</t>
  </si>
  <si>
    <t>anamborrerog@javerianacali.edu.co</t>
  </si>
  <si>
    <t>CERON TOVAR, SILVIO ALEJANDRO</t>
  </si>
  <si>
    <t>salejandroc@javerianacali.edu.co</t>
  </si>
  <si>
    <t>GAMBOA VERGARA, YALENA ALICIA</t>
  </si>
  <si>
    <t>alic99@javerianacali.edu.co</t>
  </si>
  <si>
    <t>PALOMINO SABOGAL, NATALIA</t>
  </si>
  <si>
    <t>nataliapalomino@javerianacali.edu.co</t>
  </si>
  <si>
    <t>GONZALEZ PULIDO, ANA SOFIA</t>
  </si>
  <si>
    <t>asgonzalez@javerianacali.edu.co</t>
  </si>
  <si>
    <t>MARIN TORRES, ESTEFANIA</t>
  </si>
  <si>
    <t>estefaniamarin17@javerianacali.edu.co</t>
  </si>
  <si>
    <t>FRANCO TORRES, ANGELICA MARIA</t>
  </si>
  <si>
    <t>angelicaf@javerianacali.edu.co</t>
  </si>
  <si>
    <t>SAYUR MORENO, HAYETH</t>
  </si>
  <si>
    <t>hayethsayur@javerianacali.edu.co</t>
  </si>
  <si>
    <t>MENDOZA VELASQUEZ, JUAN PABLO</t>
  </si>
  <si>
    <t>juanmendozav@javerianacali.edu.co</t>
  </si>
  <si>
    <t>PRADO MADRID, ISABELA</t>
  </si>
  <si>
    <t>isabelaprado@javerianacali.edu.co</t>
  </si>
  <si>
    <t>GIRALDO ERAZO, DANIEL MAURICIO</t>
  </si>
  <si>
    <t>danielgiraldo48@javerianacali.edu.co</t>
  </si>
  <si>
    <t>CUELLAR KOMAROMY, EDUARDO</t>
  </si>
  <si>
    <t>edkomaromy21@javerianacali.edu.co</t>
  </si>
  <si>
    <t>GOMEZ RAMOS, LUCIANA</t>
  </si>
  <si>
    <t>lgomez22@javerianacali.edu.co</t>
  </si>
  <si>
    <t>SALAZAR GUEVARA, FRANKLIN DANIEL</t>
  </si>
  <si>
    <t>fradans292@javerianacali.edu.co</t>
  </si>
  <si>
    <t>ARANGO MONTILLA, MARIA DEL MAR</t>
  </si>
  <si>
    <t>mdarango@javerianacali.edu.co</t>
  </si>
  <si>
    <t>ALDANA DORADO, ALEJANDRA</t>
  </si>
  <si>
    <t>aaldanad@javerianacali.edu.co</t>
  </si>
  <si>
    <t>AGUDELO RIVERA, PAULA</t>
  </si>
  <si>
    <t>pagudelo@javerianacali.edu.co</t>
  </si>
  <si>
    <t>CABRERA SALAZAR, JUAN DANIEL</t>
  </si>
  <si>
    <t>juandacabrera10@javerianacali.edu.co</t>
  </si>
  <si>
    <t>LLANOS MARTINEZ, SOFIA</t>
  </si>
  <si>
    <t>sllanosm@javerianacali.edu.co</t>
  </si>
  <si>
    <t>CRUZ ROA, MARIANA</t>
  </si>
  <si>
    <t>marianacruz@javerianacali.edu.co</t>
  </si>
  <si>
    <t xml:space="preserve">     </t>
  </si>
  <si>
    <t>Rodriguez Muñoz, Carolina</t>
  </si>
  <si>
    <t>carorm94@javerianacali.edu.co</t>
  </si>
  <si>
    <t>Bonilla Valencia, Juan Jose</t>
  </si>
  <si>
    <t>jjbonillav@javerianacali.edu.co</t>
  </si>
  <si>
    <t>Trujillo Lastra, Daniel Santiago</t>
  </si>
  <si>
    <t>dtrujillo16@javerianacali.edu.co</t>
  </si>
  <si>
    <t>QUINTERO PORTILLA, SARA</t>
  </si>
  <si>
    <t>saraquinterop@javerianacali.edu.co</t>
  </si>
  <si>
    <t>TORRES ANGEL, MARIA ALEJANDRA</t>
  </si>
  <si>
    <t>mariatorres13@javerianacali.edu.co</t>
  </si>
  <si>
    <t>ESPITIA HIDALGO, LINA MARCELA</t>
  </si>
  <si>
    <t>marcehidalgo@javerianacali.edu.co</t>
  </si>
  <si>
    <t>C2*</t>
  </si>
  <si>
    <t>Sanchez Miranda, Sofia</t>
  </si>
  <si>
    <t>sofiasanchez@javerianacali.edu.co</t>
  </si>
  <si>
    <t>GALLO QUINTERO, JUAN PABLO</t>
  </si>
  <si>
    <t>jpgalloq@javerianacali.edu.co</t>
  </si>
  <si>
    <t>GONZALEZ MARTINEZ, LAURA SOFIA</t>
  </si>
  <si>
    <t>laura0718@javerianacali.edu.co</t>
  </si>
  <si>
    <t>ROJAS VASQUEZ, SOFIA</t>
  </si>
  <si>
    <t>srojas22@javerianacali.edu.co</t>
  </si>
  <si>
    <t>PALOMEQUE MANZANO, LINA VALERIA</t>
  </si>
  <si>
    <t>lina22@javerianacali.edu.co</t>
  </si>
  <si>
    <t xml:space="preserve"> con </t>
  </si>
  <si>
    <t>ROMERO CABAS, LAURA VALENTINA</t>
  </si>
  <si>
    <t>lauraromerocabas1234@javerianacali.edu.co</t>
  </si>
  <si>
    <t>MUÑOZ MUÑOZ, MANUELLA</t>
  </si>
  <si>
    <t>mmunoz22@javerianacali.edu.co</t>
  </si>
  <si>
    <t>MUÑOZ RENGIFO, ANDRES FERNANDO</t>
  </si>
  <si>
    <t>andresmunozr1@javerianacali.edu.co</t>
  </si>
  <si>
    <t>C4*</t>
  </si>
  <si>
    <t>ESTRELLA INSUASTY, JOSE DAVID ALEJANDRO</t>
  </si>
  <si>
    <t>jose1509@javerianacali.edu.co</t>
  </si>
  <si>
    <t>OSPINA MILLAN, JUAN JOSE</t>
  </si>
  <si>
    <t>jospi2018@javerianacali.edu.co</t>
  </si>
  <si>
    <t>NOVENO</t>
  </si>
  <si>
    <t>ASIGNATURA</t>
  </si>
  <si>
    <t xml:space="preserve">LUGAR DE ROTACION </t>
  </si>
  <si>
    <t>Enero 13 a Enero 23</t>
  </si>
  <si>
    <t>Enero 27 a Febrero 13</t>
  </si>
  <si>
    <t>Febrero 17 a Marzo 6</t>
  </si>
  <si>
    <t>Marzo 10 a Marzo 27</t>
  </si>
  <si>
    <t>Abril 7 a Abril 24</t>
  </si>
  <si>
    <t>Abril 28 a Mayo 15</t>
  </si>
  <si>
    <t>Mayo 19 a Junio 5</t>
  </si>
  <si>
    <t>GINECOLOGIA</t>
  </si>
  <si>
    <r>
      <rPr>
        <sz val="11"/>
        <color rgb="FF000000"/>
        <rFont val="Calibri"/>
        <family val="2"/>
      </rPr>
      <t>ARO (</t>
    </r>
    <r>
      <rPr>
        <b/>
        <sz val="11"/>
        <color rgb="FF000000"/>
        <rFont val="Calibri"/>
        <family val="2"/>
      </rPr>
      <t xml:space="preserve">Versalles </t>
    </r>
    <r>
      <rPr>
        <sz val="11"/>
        <color rgb="FF000000"/>
        <rFont val="Calibri"/>
        <family val="2"/>
      </rPr>
      <t xml:space="preserve">carmen elisa linares, dario santacruz, fernando  angel ,  jhon blanco, lina salazar, maria claudia mezquita, milton cesar gomez, natalie martinez, paula oliveros y paula andrea ramirez, edgardo zambrano,  y </t>
    </r>
    <r>
      <rPr>
        <b/>
        <sz val="11"/>
        <color rgb="FF000000"/>
        <rFont val="Calibri"/>
        <family val="2"/>
      </rPr>
      <t>Clínica Nueva</t>
    </r>
    <r>
      <rPr>
        <sz val="11"/>
        <color rgb="FF000000"/>
        <rFont val="Calibri"/>
        <family val="2"/>
      </rPr>
      <t>) miguel rodriguez y  jorge urrego</t>
    </r>
  </si>
  <si>
    <t>Inducciones</t>
  </si>
  <si>
    <t>A1-A2</t>
  </si>
  <si>
    <t>C3-C4</t>
  </si>
  <si>
    <t>C1-C2</t>
  </si>
  <si>
    <t>B3-B4</t>
  </si>
  <si>
    <t>B1-B2</t>
  </si>
  <si>
    <t>A3-A4</t>
  </si>
  <si>
    <r>
      <rPr>
        <sz val="11"/>
        <color rgb="FF000000"/>
        <rFont val="Calibri"/>
        <family val="2"/>
      </rPr>
      <t xml:space="preserve">PARTOS </t>
    </r>
    <r>
      <rPr>
        <b/>
        <sz val="11"/>
        <color rgb="FF000000"/>
        <rFont val="Calibri"/>
        <family val="2"/>
      </rPr>
      <t>(Versalles )</t>
    </r>
    <r>
      <rPr>
        <sz val="11"/>
        <color rgb="FF000000"/>
        <rFont val="Calibri"/>
        <family val="2"/>
      </rPr>
      <t xml:space="preserve"> carmen elisa linares, dario santacruz, fernando  angel ,  jhon blanco, lina salazar, maria claudia mezquita, milton cesar gomez, natalie martinez, paula oliveros y paula andrea ramirez, edgardo zambrano </t>
    </r>
    <r>
      <rPr>
        <b/>
        <sz val="11"/>
        <color rgb="FF000000"/>
        <rFont val="Calibri"/>
        <family val="2"/>
      </rPr>
      <t xml:space="preserve"> CLINICA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NUEVA</t>
    </r>
    <r>
      <rPr>
        <sz val="11"/>
        <color rgb="FF000000"/>
        <rFont val="Calibri"/>
        <family val="2"/>
      </rPr>
      <t xml:space="preserve"> miguel rodriguez y  jorge urrego</t>
    </r>
  </si>
  <si>
    <r>
      <rPr>
        <sz val="11"/>
        <color rgb="FF000000"/>
        <rFont val="Calibri"/>
        <family val="2"/>
      </rPr>
      <t>PRENATAL (</t>
    </r>
    <r>
      <rPr>
        <b/>
        <sz val="11"/>
        <color rgb="FF000000"/>
        <rFont val="Calibri"/>
        <family val="2"/>
      </rPr>
      <t>Versalles</t>
    </r>
    <r>
      <rPr>
        <sz val="11"/>
        <color rgb="FF000000"/>
        <rFont val="Calibri"/>
        <family val="2"/>
      </rPr>
      <t xml:space="preserve"> carmen elisa linares, dario santacruz, fernando  angel ,  jhon blanco, lina salazar, maria claudia mezquita, milton cesar gomez, natalie martinez, paula oliveros y paula andrea ramirez, edgardo zambrano, </t>
    </r>
    <r>
      <rPr>
        <b/>
        <sz val="11"/>
        <color rgb="FF000000"/>
        <rFont val="Calibri"/>
        <family val="2"/>
      </rPr>
      <t>HJPB</t>
    </r>
    <r>
      <rPr>
        <sz val="11"/>
        <color rgb="FF000000"/>
        <rFont val="Calibri"/>
        <family val="2"/>
      </rPr>
      <t xml:space="preserve">  Maria del socorro ramosy </t>
    </r>
    <r>
      <rPr>
        <b/>
        <sz val="11"/>
        <color rgb="FF000000"/>
        <rFont val="Calibri"/>
        <family val="2"/>
      </rPr>
      <t>Siglo XXI)</t>
    </r>
    <r>
      <rPr>
        <sz val="11"/>
        <color rgb="FF000000"/>
        <rFont val="Calibri"/>
        <family val="2"/>
      </rPr>
      <t xml:space="preserve"> ana maria merchan</t>
    </r>
  </si>
  <si>
    <r>
      <rPr>
        <sz val="11"/>
        <color rgb="FF000000"/>
        <rFont val="Calibri"/>
        <family val="2"/>
      </rPr>
      <t xml:space="preserve">CONSULTA EXT </t>
    </r>
    <r>
      <rPr>
        <b/>
        <sz val="11"/>
        <color rgb="FF000000"/>
        <rFont val="Calibri"/>
        <family val="2"/>
      </rPr>
      <t>(Versalles</t>
    </r>
    <r>
      <rPr>
        <sz val="11"/>
        <color rgb="FF000000"/>
        <rFont val="Calibri"/>
        <family val="2"/>
      </rPr>
      <t xml:space="preserve"> carmen elisa linares, dario santacruz, fernando  angel ,  jhon blanco, lina salazar, maria claudia mezquita, milton cesar gomez, natalie martinez, paula oliveros y paula andrea ramirez, edgardo zambrano </t>
    </r>
    <r>
      <rPr>
        <b/>
        <sz val="11"/>
        <color rgb="FF000000"/>
        <rFont val="Calibri"/>
        <family val="2"/>
      </rPr>
      <t xml:space="preserve">Siglo XXI </t>
    </r>
    <r>
      <rPr>
        <sz val="11"/>
        <color rgb="FF000000"/>
        <rFont val="Calibri"/>
        <family val="2"/>
      </rPr>
      <t xml:space="preserve">ana maria merchan </t>
    </r>
    <r>
      <rPr>
        <b/>
        <sz val="11"/>
        <color rgb="FF000000"/>
        <rFont val="Calibri"/>
        <family val="2"/>
      </rPr>
      <t>HJPB</t>
    </r>
    <r>
      <rPr>
        <sz val="11"/>
        <color rgb="FF000000"/>
        <rFont val="Calibri"/>
        <family val="2"/>
      </rPr>
      <t xml:space="preserve"> diana katerine lasso, maria del socorro ramos   y</t>
    </r>
    <r>
      <rPr>
        <b/>
        <sz val="11"/>
        <color rgb="FF000000"/>
        <rFont val="Calibri"/>
        <family val="2"/>
      </rPr>
      <t xml:space="preserve"> HSJD</t>
    </r>
    <r>
      <rPr>
        <sz val="11"/>
        <color rgb="FF000000"/>
        <rFont val="Calibri"/>
        <family val="2"/>
      </rPr>
      <t xml:space="preserve"> angela maria gonzalez, derli garces, maria adelaida velez, maria del mar torres, diana noguera, nazli vernaza )</t>
    </r>
  </si>
  <si>
    <t>UROLOGIA</t>
  </si>
  <si>
    <t>CLINICA REMEDIOS  Dr.Gino arbelaz, mararita zapata, jesus mosquera y german ramirez, juliana paosada</t>
  </si>
  <si>
    <t>HOSPITAL MARIO CORREA pedro guacheta, juan jose serna,</t>
  </si>
  <si>
    <t>CLINICA NUEVA jonana benavides, sergio mina y juan fernando tejada</t>
  </si>
  <si>
    <t>ANESTESIA</t>
  </si>
  <si>
    <t>Remedios (J. Husbands)</t>
  </si>
  <si>
    <t>Versalles (Pabón)</t>
  </si>
  <si>
    <t>C. Farallones (Doris Piamba)</t>
  </si>
  <si>
    <t>PUJ - Simulado</t>
  </si>
  <si>
    <t>sitio</t>
  </si>
  <si>
    <t>CLINICA NUEVA</t>
  </si>
  <si>
    <t>CLINICA REMEDIOS</t>
  </si>
  <si>
    <t>HOSPITAL MARIO CORREA</t>
  </si>
  <si>
    <t>día</t>
  </si>
  <si>
    <t>MA</t>
  </si>
  <si>
    <t>MI</t>
  </si>
  <si>
    <t>JU</t>
  </si>
  <si>
    <t>VI</t>
  </si>
  <si>
    <t>DR. TEJADA</t>
  </si>
  <si>
    <t>DRA. BENAVIDEZ</t>
  </si>
  <si>
    <t>DR. ARBELAEZ</t>
  </si>
  <si>
    <t>DRA. ZAPATA</t>
  </si>
  <si>
    <t>DR. MOSQUERA</t>
  </si>
  <si>
    <t>DR. GUACHETA</t>
  </si>
  <si>
    <t>DR. SERNA</t>
  </si>
  <si>
    <t>DR. RAMIREZ</t>
  </si>
  <si>
    <t>X SEMESTRE - MEDICINA</t>
  </si>
  <si>
    <t xml:space="preserve">No. </t>
  </si>
  <si>
    <t>G. Esp Qx.</t>
  </si>
  <si>
    <t>Araque Cardona, Isabela</t>
  </si>
  <si>
    <t>isabelaraque25@javerianacali.edu.co</t>
  </si>
  <si>
    <t>2025-2</t>
  </si>
  <si>
    <t>Castañeda Bastidas, Paula Andrea</t>
  </si>
  <si>
    <t>paula1021@javerianacali.edu.co</t>
  </si>
  <si>
    <t>Castrillon Arcos, Isabella</t>
  </si>
  <si>
    <t>isabellacastrillon@javerianacali.edu.co</t>
  </si>
  <si>
    <t>Gallego Naranjo, Estefania</t>
  </si>
  <si>
    <t>estefaniagn@javerianacali.edu.co</t>
  </si>
  <si>
    <t>Quintero Melo, Valeria</t>
  </si>
  <si>
    <t>valeriaqm19@javerianacali.edu.co</t>
  </si>
  <si>
    <t>Restrepo Montoya, Nicolas</t>
  </si>
  <si>
    <t>nico13117@javerianacali.edu.co</t>
  </si>
  <si>
    <t>A2-a</t>
  </si>
  <si>
    <t>Gil Burbano, Laura Valentina</t>
  </si>
  <si>
    <t>lauravalentinagb2021@javerianacali.edu.co</t>
  </si>
  <si>
    <t>Suarez Orozco, Sofia</t>
  </si>
  <si>
    <t>sofiasuarez@javerianacali.edu.co</t>
  </si>
  <si>
    <t>Esterilla Viafara, Jhon Erick</t>
  </si>
  <si>
    <t>esterillaj23@javerianacali.edu.co</t>
  </si>
  <si>
    <t>A2-b</t>
  </si>
  <si>
    <t>Gomez Ortega, Diego Alejandro</t>
  </si>
  <si>
    <t>gomez879125@javerianacali.edu.co</t>
  </si>
  <si>
    <t>Silva Noguera, Erwin Santiago</t>
  </si>
  <si>
    <t>santiagosilva@javerianacali.edu.co</t>
  </si>
  <si>
    <t>Cuadros Mateus, Sebastian</t>
  </si>
  <si>
    <t>scuadros@javerianacali.edu.co</t>
  </si>
  <si>
    <t>Agudelo Ceballos, Lukas</t>
  </si>
  <si>
    <t>lukasac@javerianacali.edu.co</t>
  </si>
  <si>
    <t>Gutierrez Ferreira, Tanya Carolina</t>
  </si>
  <si>
    <t>ferreira08tania@javerianacali.edu.co</t>
  </si>
  <si>
    <t>Insuasty Arcos, Juan Diego</t>
  </si>
  <si>
    <t>juandiegoinsuasty@javerianacali.edu.co</t>
  </si>
  <si>
    <t>Lasso Sanchez, Edward Andres</t>
  </si>
  <si>
    <t>lassoandres@javerianacali.edu.co</t>
  </si>
  <si>
    <t>Montoya Granada, Santiago</t>
  </si>
  <si>
    <t>montosan824@javerianacali.edu.co</t>
  </si>
  <si>
    <t>Tafur Chaves, Rene Santiago</t>
  </si>
  <si>
    <t>santiagotafur07@javerianacali.edu.co</t>
  </si>
  <si>
    <t>Burbano Galviz, Maria Paula</t>
  </si>
  <si>
    <t>mariapaulab14@javerianacali.edu.co</t>
  </si>
  <si>
    <t>Cardona Melendez, Manuela</t>
  </si>
  <si>
    <t>manuelacardonam@javerianacali.edu.co</t>
  </si>
  <si>
    <t>Muñoz Caicedo, Gabriela</t>
  </si>
  <si>
    <t>gabrielamunozca@javerianacali.edu.co</t>
  </si>
  <si>
    <t>Ordoñez Soto, Mariana</t>
  </si>
  <si>
    <t>marianaordonez04@javerianacali.edu.co</t>
  </si>
  <si>
    <t>Rojas Ruiz, Laura Sofia</t>
  </si>
  <si>
    <t>laurarojas@javerianacali.edu.co</t>
  </si>
  <si>
    <t>Vallejo Gomez, Manuela</t>
  </si>
  <si>
    <t>manuelavallejog@javerianacali.edu.co</t>
  </si>
  <si>
    <t>B2a</t>
  </si>
  <si>
    <t>Arzayus Rueda, Mariana</t>
  </si>
  <si>
    <t>marianaarzayus@javerianacali.edu.co</t>
  </si>
  <si>
    <t>B2-a</t>
  </si>
  <si>
    <t>Caicedo La Rotta, Juan Miguel</t>
  </si>
  <si>
    <t>juanmc2004@javerianacali.edu.co</t>
  </si>
  <si>
    <t>Carvajal Medina, Valentina</t>
  </si>
  <si>
    <t>valentinacarvajalm@javerianacali.edu.co</t>
  </si>
  <si>
    <t>Muñoz Ortiz, Juan Manuel</t>
  </si>
  <si>
    <t>juanma24@javerianacali.edu.co</t>
  </si>
  <si>
    <t>B2-b</t>
  </si>
  <si>
    <t>Ortega Uribe, Carlos Daniel</t>
  </si>
  <si>
    <t>cdortegau@javerianacali.edu.co</t>
  </si>
  <si>
    <t>Romero Valencia, Maria Gabriela</t>
  </si>
  <si>
    <t>mgvr0309@javerianacali.edu.co</t>
  </si>
  <si>
    <t>Cajiao Cabezas, Valentina</t>
  </si>
  <si>
    <t>vcajiao04@javerianacali.edu.co</t>
  </si>
  <si>
    <t>Crespo Figueroa, Gabriela</t>
  </si>
  <si>
    <t>gabycrespo2004@javerianacali.edu.co</t>
  </si>
  <si>
    <t>Cuadros Solis, Juliana</t>
  </si>
  <si>
    <t>julianacuadross@javerianacali.edu.co</t>
  </si>
  <si>
    <t>Herrera Ortiz, Isabella</t>
  </si>
  <si>
    <t>iherrerao6@javerianacali.edu.co</t>
  </si>
  <si>
    <t>Motato Zabala, Sara Gabriela</t>
  </si>
  <si>
    <t>saramotato@javerianacali.edu.co</t>
  </si>
  <si>
    <t>Osma Perez, Maria Victoria</t>
  </si>
  <si>
    <t>victoriaosma2003@javerianacali.edu.co</t>
  </si>
  <si>
    <t>Alfonso Gomez, Maria Del Mar</t>
  </si>
  <si>
    <t>mariadelmaralfonso@javerianacali.edu.co</t>
  </si>
  <si>
    <t>Jaramillo Delgado, Maria Jose</t>
  </si>
  <si>
    <t>mariajosejd@javerianacali.edu.co</t>
  </si>
  <si>
    <t>Lopez Caicedo, Laura Sofia</t>
  </si>
  <si>
    <t>lauralopez26@javerianacali.edu.co</t>
  </si>
  <si>
    <t>Mena Ocampo, Laura Ashley</t>
  </si>
  <si>
    <t>lauraashley03@javerianacali.edu.co</t>
  </si>
  <si>
    <t>Molina Burbano, Carolina</t>
  </si>
  <si>
    <t>caromolinab@javerianacali.edu.co</t>
  </si>
  <si>
    <t>Palechor Muñoz, Juan Jose</t>
  </si>
  <si>
    <t>jpalechor26@javerianacali.edu.co</t>
  </si>
  <si>
    <t>C2-a</t>
  </si>
  <si>
    <t>Benavides Martinez, Emily</t>
  </si>
  <si>
    <t>embena01@javerianacali.edu.co</t>
  </si>
  <si>
    <t>Gonzalez Gonzalez, Juan Manuel</t>
  </si>
  <si>
    <t>juanmanuelg24@javerianacali.edu.co</t>
  </si>
  <si>
    <t>Gonzalez Rubio, Nicholas</t>
  </si>
  <si>
    <t>nicolasgonzalez@javerianacali.edu.co</t>
  </si>
  <si>
    <t>C2-b</t>
  </si>
  <si>
    <t>Orozco Vargas, Oscar Julian</t>
  </si>
  <si>
    <t>10oscar20@javerianacali.edu.co</t>
  </si>
  <si>
    <t>Sanchez Montes, Valentina</t>
  </si>
  <si>
    <t>valentinasanchezm@javerianacali.edu.co</t>
  </si>
  <si>
    <t>Villarreal Lozano, Dilan Fernando</t>
  </si>
  <si>
    <t>dilanvillarreal@javerianacali.edu.co</t>
  </si>
  <si>
    <t>Arbelaez Giraldo, Manuela</t>
  </si>
  <si>
    <t>manuela15@javerianacali.edu.co</t>
  </si>
  <si>
    <t>Chamorro Arce, Maria Andrea</t>
  </si>
  <si>
    <t>mandreachamorro@javerianacali.edu.co</t>
  </si>
  <si>
    <t>Cuervo Castilla, Maria Jose</t>
  </si>
  <si>
    <t>mariajcuervoc@javerianacali.edu.co</t>
  </si>
  <si>
    <t>Paredes Cruz, Juan Fernando</t>
  </si>
  <si>
    <t>juanfparedes24@javerianacali.edu.co</t>
  </si>
  <si>
    <t>Parra Arbelaez, Gabriela</t>
  </si>
  <si>
    <t>gabrielaparraa@javerianacali.edu.co</t>
  </si>
  <si>
    <t>Ramirez Hurtado, Isabella</t>
  </si>
  <si>
    <t>isabellaramirezh@javerianacali.edu.co</t>
  </si>
  <si>
    <t>Catalogo</t>
  </si>
  <si>
    <t>ROTACION</t>
  </si>
  <si>
    <t>5 al 9 de enero</t>
  </si>
  <si>
    <t>Enero 13 a Enero 16</t>
  </si>
  <si>
    <t>Enero 20 a Enero 23</t>
  </si>
  <si>
    <t>Enero 27 a Enero 30</t>
  </si>
  <si>
    <t>Febrero 3 a Febrero 6</t>
  </si>
  <si>
    <t>Febrero 10 a Febrero 13</t>
  </si>
  <si>
    <t>Febrero 17 a Febrero 20</t>
  </si>
  <si>
    <t>Febrero 24 a Febrero 27</t>
  </si>
  <si>
    <t>Marzo 3 al Marzo 6</t>
  </si>
  <si>
    <t>Marzo 10 a Marzo 13</t>
  </si>
  <si>
    <t>Marzo 17 a Marzo 20</t>
  </si>
  <si>
    <t>Marzo 24 a Marzo 27</t>
  </si>
  <si>
    <t>Abril 7 a Abril 10</t>
  </si>
  <si>
    <t>Abril 14 a Abril 17</t>
  </si>
  <si>
    <t>Abril 21 a Abril 24</t>
  </si>
  <si>
    <t>Abril 28 a Mayo 1</t>
  </si>
  <si>
    <t>Mayo 5 a Mayo 8</t>
  </si>
  <si>
    <t>Mayo 12 a Mayo 15</t>
  </si>
  <si>
    <t>Mayo 19 a Mayo 22</t>
  </si>
  <si>
    <t>300MDM023</t>
  </si>
  <si>
    <t>MEDICINA DE URGENCIAS</t>
  </si>
  <si>
    <t>H. SIMULADO - PUJ</t>
  </si>
  <si>
    <t>Inducción</t>
  </si>
  <si>
    <t>C1+C2a</t>
  </si>
  <si>
    <t>C2b+C3</t>
  </si>
  <si>
    <t>B1+B2a</t>
  </si>
  <si>
    <t>B2b+B3</t>
  </si>
  <si>
    <t>A1+A2a</t>
  </si>
  <si>
    <t>A2b+A3</t>
  </si>
  <si>
    <t>C. Versalles (Martín Ocampo)</t>
  </si>
  <si>
    <t>Vallesalud (Ana Bolena Polanco)</t>
  </si>
  <si>
    <t xml:space="preserve">Clínica Cali Norte-Fabilu (Danilo Salazar) </t>
  </si>
  <si>
    <t>300MDM024</t>
  </si>
  <si>
    <t>MEDICINA FAMILIAR AMBULATORIA</t>
  </si>
  <si>
    <t>JAVESALUD</t>
  </si>
  <si>
    <t>A1+A2b</t>
  </si>
  <si>
    <t>COTTOLENGO Leonardo Quintero</t>
  </si>
  <si>
    <t>ESE LADERA Claudia Criollo</t>
  </si>
  <si>
    <t>ESE NORTEO lga Liliana Salazar</t>
  </si>
  <si>
    <t>Enero 13 a Enero 30</t>
  </si>
  <si>
    <t>Febrero 3 a Febrero 20</t>
  </si>
  <si>
    <t>Febrero 24 a Marzo 13</t>
  </si>
  <si>
    <t>Marzo 17 a Abril 3</t>
  </si>
  <si>
    <t>Abril 28 a Mayo15</t>
  </si>
  <si>
    <t>300MDG010</t>
  </si>
  <si>
    <t>ESP_Qx: ORTOPEDIA 1,5 semanas</t>
  </si>
  <si>
    <t>C. PALMIRA (Paul Stangl  hijo)</t>
  </si>
  <si>
    <t>B1+B2</t>
  </si>
  <si>
    <t>B3+B4</t>
  </si>
  <si>
    <t>A1+A2</t>
  </si>
  <si>
    <t>A3+A4</t>
  </si>
  <si>
    <t>C1+C2</t>
  </si>
  <si>
    <t>C3+C4</t>
  </si>
  <si>
    <t>CLUB NOEL (igual miércoles)</t>
  </si>
  <si>
    <t>SAN JUAN DE DIOS  (Ricardo Romo)</t>
  </si>
  <si>
    <t>Enero 13 a Enero 21</t>
  </si>
  <si>
    <t>Enero 22 a Enero 30</t>
  </si>
  <si>
    <t>Febrero 3 a Febrero 11</t>
  </si>
  <si>
    <t>Febrero 12 a Febrero 20</t>
  </si>
  <si>
    <t>Febrero 24 a Marzo 4</t>
  </si>
  <si>
    <t>Marzo 5 a Marzo 13</t>
  </si>
  <si>
    <t>Marzo 17 a Marzo 25</t>
  </si>
  <si>
    <t>Marzo 26 a Abril 1</t>
  </si>
  <si>
    <t>Abril 2 a Abril 10</t>
  </si>
  <si>
    <t>Abril 12 a Abril 22</t>
  </si>
  <si>
    <t>Abril 23 a 1 Mayo</t>
  </si>
  <si>
    <t>Mayo 5 a Mayo 13</t>
  </si>
  <si>
    <t>ESP_Qx: OTORRINO</t>
  </si>
  <si>
    <t>CIEGOS Y SORDOS (Luis f. Rincon)</t>
  </si>
  <si>
    <t>ESP_Qx: OFTALMOLOGÍA</t>
  </si>
  <si>
    <t>C. OFTALMOLÓGICA (J. Cordoba)</t>
  </si>
  <si>
    <t>Enero 13 a Febrero 20</t>
  </si>
  <si>
    <t>Febrero 24 al 14 de Abril</t>
  </si>
  <si>
    <t>Abril 14 a Mayo 22</t>
  </si>
  <si>
    <t>300MDM022</t>
  </si>
  <si>
    <t>CIRUGIA GENERAL</t>
  </si>
  <si>
    <t>REMEDIOS (Adriana Mariño)</t>
  </si>
  <si>
    <t>VERSALLES (Hernan Ocampo)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</si>
</sst>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name val="Arial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name val="Calibri"/>
      <family val="2"/>
    </font>
    <font>
      <b/>
      <sz val="20"/>
      <color rgb="FFFF0000"/>
      <name val="Calibri"/>
      <family val="2"/>
    </font>
    <font>
      <b/>
      <sz val="2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b/>
      <sz val="14"/>
      <color rgb="FF000000"/>
      <name val="Aptos Narrow"/>
      <family val="2"/>
    </font>
    <font>
      <b/>
      <u/>
      <sz val="14"/>
      <color rgb="FF000000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9"/>
      <name val="Arial"/>
      <family val="2"/>
    </font>
    <font>
      <sz val="10"/>
      <color theme="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Arial"/>
      <family val="2"/>
    </font>
    <font>
      <sz val="11"/>
      <color theme="0"/>
      <name val="Aptos Narrow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FF0000"/>
      <name val="Aptos Narrow"/>
      <family val="2"/>
    </font>
    <font>
      <b/>
      <sz val="10"/>
      <name val="Aptos Narrow"/>
      <family val="2"/>
    </font>
    <font>
      <b/>
      <sz val="10"/>
      <color rgb="FF000000"/>
      <name val="Calibri"/>
      <family val="2"/>
    </font>
    <font>
      <b/>
      <sz val="11"/>
      <name val="Calibri"/>
      <family val="2"/>
    </font>
    <font>
      <sz val="20"/>
      <color theme="1"/>
      <name val="Calibri"/>
      <family val="2"/>
      <scheme val="minor"/>
    </font>
    <font>
      <sz val="10"/>
      <color rgb="FF000000"/>
      <name val="Aptos Narrow"/>
      <family val="2"/>
    </font>
    <font>
      <b/>
      <sz val="12"/>
      <color rgb="FF000000"/>
      <name val="Calibri"/>
      <family val="2"/>
    </font>
    <font>
      <b/>
      <sz val="10"/>
      <name val="&quot;Google Sans&quot;"/>
    </font>
    <font>
      <sz val="10"/>
      <name val="&quot;Google Sans&quot;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ptos Narrow (Cuerpo)"/>
    </font>
    <font>
      <sz val="9"/>
      <color theme="1"/>
      <name val="Calibri"/>
      <family val="2"/>
      <scheme val="minor"/>
    </font>
    <font>
      <sz val="11"/>
      <color theme="1"/>
      <name val="Aptos Narrow"/>
      <family val="2"/>
    </font>
  </fonts>
  <fills count="5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063FF"/>
        <bgColor rgb="FFB063FF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theme="5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104861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theme="4" tint="0.79998168889431442"/>
        <bgColor rgb="FF00B0F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339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75317"/>
        <bgColor rgb="FF275317"/>
      </patternFill>
    </fill>
    <fill>
      <patternFill patternType="solid">
        <fgColor rgb="FF595959"/>
        <bgColor rgb="FF595959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7B7B7B"/>
        <bgColor rgb="FF7B7B7B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BF8F00"/>
        <bgColor rgb="FFBF8F00"/>
      </patternFill>
    </fill>
    <fill>
      <patternFill patternType="solid">
        <fgColor rgb="FFC6591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">
    <xf numFmtId="0" fontId="0" fillId="0" borderId="0"/>
    <xf numFmtId="0" fontId="5" fillId="0" borderId="0"/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5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13" fillId="9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8" xfId="0" applyBorder="1"/>
    <xf numFmtId="0" fontId="19" fillId="0" borderId="1" xfId="0" applyFont="1" applyBorder="1" applyAlignment="1">
      <alignment horizontal="center" vertical="center" wrapText="1" readingOrder="1"/>
    </xf>
    <xf numFmtId="0" fontId="23" fillId="0" borderId="10" xfId="0" applyFont="1" applyBorder="1" applyAlignment="1">
      <alignment vertical="center" wrapText="1" readingOrder="1"/>
    </xf>
    <xf numFmtId="0" fontId="19" fillId="0" borderId="21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center" vertical="center" wrapText="1" readingOrder="1"/>
    </xf>
    <xf numFmtId="0" fontId="26" fillId="0" borderId="0" xfId="0" applyFont="1"/>
    <xf numFmtId="0" fontId="9" fillId="17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center" vertical="center" wrapText="1" readingOrder="1"/>
    </xf>
    <xf numFmtId="0" fontId="13" fillId="15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readingOrder="1"/>
    </xf>
    <xf numFmtId="0" fontId="37" fillId="0" borderId="1" xfId="0" applyFont="1" applyBorder="1" applyAlignment="1">
      <alignment vertical="center" wrapText="1"/>
    </xf>
    <xf numFmtId="0" fontId="0" fillId="31" borderId="0" xfId="0" applyFill="1"/>
    <xf numFmtId="0" fontId="23" fillId="0" borderId="24" xfId="0" applyFont="1" applyBorder="1" applyAlignment="1">
      <alignment vertical="center" wrapText="1" readingOrder="1"/>
    </xf>
    <xf numFmtId="0" fontId="24" fillId="0" borderId="28" xfId="0" applyFont="1" applyBorder="1" applyAlignment="1">
      <alignment horizontal="center" vertical="center" wrapText="1" readingOrder="1"/>
    </xf>
    <xf numFmtId="0" fontId="7" fillId="0" borderId="24" xfId="0" applyFont="1" applyBorder="1" applyAlignment="1">
      <alignment horizontal="center" vertical="center" wrapText="1" readingOrder="1"/>
    </xf>
    <xf numFmtId="0" fontId="19" fillId="0" borderId="22" xfId="0" applyFont="1" applyBorder="1" applyAlignment="1">
      <alignment horizontal="center" vertical="center" wrapText="1" readingOrder="1"/>
    </xf>
    <xf numFmtId="0" fontId="19" fillId="0" borderId="20" xfId="0" applyFont="1" applyBorder="1" applyAlignment="1">
      <alignment horizontal="center" vertical="center" wrapText="1" readingOrder="1"/>
    </xf>
    <xf numFmtId="0" fontId="39" fillId="0" borderId="23" xfId="0" applyFont="1" applyBorder="1" applyAlignment="1">
      <alignment wrapText="1"/>
    </xf>
    <xf numFmtId="0" fontId="26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23" borderId="1" xfId="0" applyFont="1" applyFill="1" applyBorder="1" applyAlignment="1">
      <alignment horizontal="center" vertical="center"/>
    </xf>
    <xf numFmtId="0" fontId="36" fillId="24" borderId="1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0" fontId="36" fillId="25" borderId="1" xfId="0" applyFont="1" applyFill="1" applyBorder="1" applyAlignment="1">
      <alignment horizontal="center" vertical="center"/>
    </xf>
    <xf numFmtId="0" fontId="36" fillId="26" borderId="1" xfId="0" applyFont="1" applyFill="1" applyBorder="1" applyAlignment="1">
      <alignment horizontal="center" vertical="center"/>
    </xf>
    <xf numFmtId="0" fontId="36" fillId="29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1" fillId="28" borderId="1" xfId="0" applyFont="1" applyFill="1" applyBorder="1" applyAlignment="1">
      <alignment horizontal="center" vertical="center"/>
    </xf>
    <xf numFmtId="0" fontId="41" fillId="27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4" fillId="0" borderId="1" xfId="0" applyFont="1" applyBorder="1"/>
    <xf numFmtId="0" fontId="16" fillId="2" borderId="1" xfId="0" applyFont="1" applyFill="1" applyBorder="1" applyAlignment="1">
      <alignment wrapText="1"/>
    </xf>
    <xf numFmtId="0" fontId="0" fillId="0" borderId="8" xfId="0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5" fillId="0" borderId="0" xfId="0" applyFont="1"/>
    <xf numFmtId="0" fontId="13" fillId="10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8" fillId="3" borderId="1" xfId="0" applyFont="1" applyFill="1" applyBorder="1"/>
    <xf numFmtId="0" fontId="0" fillId="0" borderId="3" xfId="0" applyBorder="1" applyAlignment="1">
      <alignment horizontal="center"/>
    </xf>
    <xf numFmtId="0" fontId="26" fillId="0" borderId="0" xfId="0" applyFont="1" applyAlignment="1">
      <alignment horizontal="center" vertical="center"/>
    </xf>
    <xf numFmtId="17" fontId="1" fillId="0" borderId="0" xfId="0" quotePrefix="1" applyNumberFormat="1" applyFont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0" fontId="40" fillId="11" borderId="7" xfId="0" applyFont="1" applyFill="1" applyBorder="1" applyAlignment="1">
      <alignment horizontal="center" vertical="center" wrapText="1"/>
    </xf>
    <xf numFmtId="0" fontId="40" fillId="34" borderId="7" xfId="0" applyFont="1" applyFill="1" applyBorder="1" applyAlignment="1">
      <alignment horizontal="center" vertical="center" wrapText="1"/>
    </xf>
    <xf numFmtId="0" fontId="40" fillId="35" borderId="7" xfId="0" applyFont="1" applyFill="1" applyBorder="1" applyAlignment="1">
      <alignment horizontal="center" vertical="center" wrapText="1"/>
    </xf>
    <xf numFmtId="0" fontId="40" fillId="36" borderId="7" xfId="0" applyFont="1" applyFill="1" applyBorder="1" applyAlignment="1">
      <alignment horizontal="center" vertical="center" wrapText="1"/>
    </xf>
    <xf numFmtId="0" fontId="40" fillId="37" borderId="7" xfId="0" applyFont="1" applyFill="1" applyBorder="1" applyAlignment="1">
      <alignment horizontal="center" vertical="center" wrapText="1"/>
    </xf>
    <xf numFmtId="0" fontId="40" fillId="14" borderId="7" xfId="0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38" borderId="7" xfId="0" applyFont="1" applyFill="1" applyBorder="1" applyAlignment="1">
      <alignment horizontal="center" vertical="center" wrapText="1"/>
    </xf>
    <xf numFmtId="0" fontId="40" fillId="39" borderId="7" xfId="0" applyFont="1" applyFill="1" applyBorder="1" applyAlignment="1">
      <alignment horizontal="center" vertical="center" wrapText="1"/>
    </xf>
    <xf numFmtId="0" fontId="40" fillId="25" borderId="7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17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14" fontId="13" fillId="8" borderId="1" xfId="0" quotePrefix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 readingOrder="1"/>
    </xf>
    <xf numFmtId="0" fontId="19" fillId="40" borderId="1" xfId="0" applyFont="1" applyFill="1" applyBorder="1" applyAlignment="1">
      <alignment horizontal="center" vertical="center" wrapText="1" readingOrder="1"/>
    </xf>
    <xf numFmtId="0" fontId="19" fillId="0" borderId="1" xfId="0" applyFont="1" applyBorder="1" applyAlignment="1">
      <alignment vertical="center" wrapText="1" readingOrder="1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33" xfId="0" applyFont="1" applyBorder="1" applyAlignment="1">
      <alignment vertical="center"/>
    </xf>
    <xf numFmtId="0" fontId="44" fillId="5" borderId="33" xfId="0" applyFont="1" applyFill="1" applyBorder="1" applyAlignment="1">
      <alignment horizontal="center" vertical="center"/>
    </xf>
    <xf numFmtId="0" fontId="44" fillId="33" borderId="33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4" fillId="43" borderId="33" xfId="0" applyFont="1" applyFill="1" applyBorder="1" applyAlignment="1">
      <alignment horizontal="center" vertical="center"/>
    </xf>
    <xf numFmtId="0" fontId="44" fillId="0" borderId="3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9" fillId="0" borderId="40" xfId="0" applyFont="1" applyBorder="1" applyAlignment="1">
      <alignment vertical="center"/>
    </xf>
    <xf numFmtId="0" fontId="19" fillId="0" borderId="40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34" xfId="0" applyFont="1" applyBorder="1" applyAlignment="1">
      <alignment vertical="center" wrapText="1"/>
    </xf>
    <xf numFmtId="0" fontId="13" fillId="0" borderId="0" xfId="0" applyFont="1" applyAlignment="1">
      <alignment vertical="center" textRotation="90"/>
    </xf>
    <xf numFmtId="0" fontId="44" fillId="0" borderId="0" xfId="0" applyFont="1" applyAlignment="1">
      <alignment vertical="center" wrapText="1"/>
    </xf>
    <xf numFmtId="0" fontId="44" fillId="0" borderId="1" xfId="0" applyFon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/>
    </xf>
    <xf numFmtId="49" fontId="37" fillId="2" borderId="2" xfId="0" applyNumberFormat="1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37" fillId="3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5" fillId="0" borderId="0" xfId="0" applyFont="1"/>
    <xf numFmtId="0" fontId="53" fillId="0" borderId="1" xfId="0" applyFont="1" applyBorder="1" applyAlignment="1">
      <alignment horizontal="center" vertical="center"/>
    </xf>
    <xf numFmtId="16" fontId="53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7" fillId="0" borderId="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53" fillId="0" borderId="6" xfId="0" applyFont="1" applyBorder="1" applyAlignment="1">
      <alignment horizontal="center"/>
    </xf>
    <xf numFmtId="0" fontId="53" fillId="0" borderId="7" xfId="0" applyFont="1" applyBorder="1" applyAlignment="1">
      <alignment horizontal="center"/>
    </xf>
    <xf numFmtId="17" fontId="25" fillId="0" borderId="0" xfId="0" quotePrefix="1" applyNumberFormat="1" applyFont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7" xfId="0" applyFont="1" applyBorder="1"/>
    <xf numFmtId="0" fontId="54" fillId="0" borderId="7" xfId="0" applyFont="1" applyBorder="1"/>
    <xf numFmtId="0" fontId="20" fillId="0" borderId="7" xfId="0" applyFont="1" applyBorder="1" applyAlignment="1">
      <alignment horizontal="center"/>
    </xf>
    <xf numFmtId="0" fontId="25" fillId="0" borderId="7" xfId="0" applyFont="1" applyBorder="1"/>
    <xf numFmtId="0" fontId="16" fillId="21" borderId="1" xfId="0" applyFont="1" applyFill="1" applyBorder="1" applyAlignment="1">
      <alignment wrapText="1"/>
    </xf>
    <xf numFmtId="0" fontId="16" fillId="51" borderId="1" xfId="0" applyFont="1" applyFill="1" applyBorder="1" applyAlignment="1">
      <alignment wrapText="1"/>
    </xf>
    <xf numFmtId="0" fontId="37" fillId="51" borderId="6" xfId="0" applyFont="1" applyFill="1" applyBorder="1" applyAlignment="1">
      <alignment horizontal="center"/>
    </xf>
    <xf numFmtId="0" fontId="37" fillId="51" borderId="7" xfId="0" applyFont="1" applyFill="1" applyBorder="1" applyAlignment="1">
      <alignment horizontal="center"/>
    </xf>
    <xf numFmtId="0" fontId="37" fillId="51" borderId="7" xfId="0" applyFont="1" applyFill="1" applyBorder="1"/>
    <xf numFmtId="0" fontId="54" fillId="51" borderId="7" xfId="0" applyFont="1" applyFill="1" applyBorder="1"/>
    <xf numFmtId="0" fontId="20" fillId="51" borderId="7" xfId="0" applyFont="1" applyFill="1" applyBorder="1" applyAlignment="1">
      <alignment horizontal="center"/>
    </xf>
    <xf numFmtId="0" fontId="25" fillId="51" borderId="7" xfId="0" applyFont="1" applyFill="1" applyBorder="1"/>
    <xf numFmtId="0" fontId="54" fillId="51" borderId="7" xfId="0" applyFont="1" applyFill="1" applyBorder="1" applyAlignment="1">
      <alignment horizontal="center"/>
    </xf>
    <xf numFmtId="0" fontId="54" fillId="0" borderId="7" xfId="0" applyFont="1" applyBorder="1" applyAlignment="1">
      <alignment horizontal="center"/>
    </xf>
    <xf numFmtId="0" fontId="55" fillId="2" borderId="1" xfId="0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vertical="center"/>
    </xf>
    <xf numFmtId="0" fontId="55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vertical="center"/>
    </xf>
    <xf numFmtId="0" fontId="55" fillId="0" borderId="8" xfId="0" applyFont="1" applyBorder="1" applyAlignment="1">
      <alignment vertical="center"/>
    </xf>
    <xf numFmtId="0" fontId="55" fillId="0" borderId="4" xfId="0" applyFont="1" applyBorder="1" applyAlignment="1">
      <alignment vertical="center"/>
    </xf>
    <xf numFmtId="0" fontId="55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45" fillId="0" borderId="35" xfId="0" applyFont="1" applyBorder="1" applyAlignment="1">
      <alignment vertical="center" wrapText="1"/>
    </xf>
    <xf numFmtId="0" fontId="46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9" fillId="14" borderId="8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36" fillId="24" borderId="4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wrapText="1"/>
    </xf>
    <xf numFmtId="0" fontId="51" fillId="0" borderId="3" xfId="0" applyFont="1" applyBorder="1" applyAlignment="1">
      <alignment wrapText="1"/>
    </xf>
    <xf numFmtId="0" fontId="51" fillId="0" borderId="6" xfId="0" applyFont="1" applyBorder="1" applyAlignment="1">
      <alignment wrapText="1"/>
    </xf>
    <xf numFmtId="0" fontId="51" fillId="0" borderId="7" xfId="0" applyFont="1" applyBorder="1" applyAlignment="1">
      <alignment wrapText="1"/>
    </xf>
    <xf numFmtId="0" fontId="36" fillId="0" borderId="1" xfId="0" applyFont="1" applyBorder="1"/>
    <xf numFmtId="0" fontId="36" fillId="0" borderId="6" xfId="0" applyFont="1" applyBorder="1"/>
    <xf numFmtId="0" fontId="36" fillId="0" borderId="8" xfId="0" applyFont="1" applyBorder="1" applyAlignment="1">
      <alignment horizontal="center"/>
    </xf>
    <xf numFmtId="16" fontId="24" fillId="0" borderId="8" xfId="0" quotePrefix="1" applyNumberFormat="1" applyFont="1" applyBorder="1" applyAlignment="1">
      <alignment horizontal="center" vertical="center" wrapText="1"/>
    </xf>
    <xf numFmtId="0" fontId="24" fillId="0" borderId="8" xfId="0" quotePrefix="1" applyFont="1" applyBorder="1" applyAlignment="1">
      <alignment horizontal="center" vertical="center" wrapText="1"/>
    </xf>
    <xf numFmtId="17" fontId="24" fillId="0" borderId="8" xfId="0" applyNumberFormat="1" applyFont="1" applyBorder="1" applyAlignment="1">
      <alignment horizontal="center" vertical="center" wrapText="1"/>
    </xf>
    <xf numFmtId="0" fontId="36" fillId="24" borderId="4" xfId="0" applyFont="1" applyFill="1" applyBorder="1" applyAlignment="1">
      <alignment horizontal="center" vertical="center"/>
    </xf>
    <xf numFmtId="0" fontId="36" fillId="23" borderId="4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11" borderId="4" xfId="0" applyFont="1" applyFill="1" applyBorder="1" applyAlignment="1">
      <alignment horizontal="center" vertical="center"/>
    </xf>
    <xf numFmtId="0" fontId="36" fillId="16" borderId="4" xfId="0" applyFont="1" applyFill="1" applyBorder="1" applyAlignment="1">
      <alignment horizontal="center" vertical="center"/>
    </xf>
    <xf numFmtId="0" fontId="36" fillId="26" borderId="4" xfId="0" applyFont="1" applyFill="1" applyBorder="1" applyAlignment="1">
      <alignment horizontal="center" vertical="center"/>
    </xf>
    <xf numFmtId="0" fontId="36" fillId="25" borderId="4" xfId="0" applyFont="1" applyFill="1" applyBorder="1" applyAlignment="1">
      <alignment horizontal="center" vertical="center"/>
    </xf>
    <xf numFmtId="0" fontId="41" fillId="27" borderId="4" xfId="0" applyFont="1" applyFill="1" applyBorder="1" applyAlignment="1">
      <alignment horizontal="center" vertical="center"/>
    </xf>
    <xf numFmtId="0" fontId="41" fillId="28" borderId="4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 readingOrder="1"/>
    </xf>
    <xf numFmtId="0" fontId="56" fillId="0" borderId="1" xfId="0" applyFont="1" applyBorder="1" applyAlignment="1">
      <alignment horizontal="center"/>
    </xf>
    <xf numFmtId="0" fontId="57" fillId="0" borderId="0" xfId="0" applyFont="1"/>
    <xf numFmtId="0" fontId="56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59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 readingOrder="1"/>
    </xf>
    <xf numFmtId="0" fontId="24" fillId="0" borderId="43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/>
    </xf>
    <xf numFmtId="0" fontId="39" fillId="2" borderId="45" xfId="0" applyFont="1" applyFill="1" applyBorder="1" applyAlignment="1">
      <alignment horizontal="center" vertical="center" wrapText="1" readingOrder="1"/>
    </xf>
    <xf numFmtId="0" fontId="24" fillId="0" borderId="48" xfId="0" applyFont="1" applyBorder="1" applyAlignment="1">
      <alignment horizontal="center" vertical="center" wrapText="1"/>
    </xf>
    <xf numFmtId="0" fontId="44" fillId="52" borderId="33" xfId="0" applyFont="1" applyFill="1" applyBorder="1" applyAlignment="1">
      <alignment horizontal="center" vertical="center"/>
    </xf>
    <xf numFmtId="0" fontId="41" fillId="41" borderId="33" xfId="0" applyFont="1" applyFill="1" applyBorder="1" applyAlignment="1">
      <alignment horizontal="center" vertical="center"/>
    </xf>
    <xf numFmtId="0" fontId="41" fillId="42" borderId="3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5" fillId="0" borderId="1" xfId="0" quotePrefix="1" applyFont="1" applyBorder="1" applyAlignment="1">
      <alignment horizontal="center" vertical="center"/>
    </xf>
    <xf numFmtId="0" fontId="24" fillId="0" borderId="33" xfId="0" quotePrefix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5" fillId="31" borderId="0" xfId="0" applyFont="1" applyFill="1"/>
    <xf numFmtId="0" fontId="44" fillId="0" borderId="30" xfId="0" applyFont="1" applyBorder="1" applyAlignment="1">
      <alignment horizontal="center" vertical="center"/>
    </xf>
    <xf numFmtId="0" fontId="45" fillId="0" borderId="30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9" fillId="2" borderId="8" xfId="0" applyFont="1" applyFill="1" applyBorder="1" applyAlignment="1">
      <alignment horizontal="center" vertical="center" wrapText="1"/>
    </xf>
    <xf numFmtId="0" fontId="9" fillId="53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 wrapText="1"/>
    </xf>
    <xf numFmtId="0" fontId="52" fillId="14" borderId="3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wrapText="1"/>
    </xf>
    <xf numFmtId="0" fontId="52" fillId="14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3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 wrapText="1"/>
    </xf>
    <xf numFmtId="0" fontId="52" fillId="14" borderId="24" xfId="0" applyFont="1" applyFill="1" applyBorder="1" applyAlignment="1">
      <alignment horizontal="center" vertical="center" wrapText="1"/>
    </xf>
    <xf numFmtId="0" fontId="52" fillId="0" borderId="32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14" borderId="32" xfId="0" applyFont="1" applyFill="1" applyBorder="1" applyAlignment="1">
      <alignment horizontal="center" vertical="center" wrapText="1"/>
    </xf>
    <xf numFmtId="0" fontId="52" fillId="0" borderId="34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51" fillId="0" borderId="8" xfId="0" applyFont="1" applyBorder="1" applyAlignment="1">
      <alignment wrapText="1"/>
    </xf>
    <xf numFmtId="0" fontId="51" fillId="0" borderId="8" xfId="0" applyFont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8" xfId="0" applyFont="1" applyBorder="1" applyAlignment="1">
      <alignment vertical="center" wrapText="1"/>
    </xf>
    <xf numFmtId="0" fontId="45" fillId="0" borderId="8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8" xfId="0" applyFont="1" applyBorder="1" applyAlignment="1">
      <alignment vertical="center" wrapText="1"/>
    </xf>
    <xf numFmtId="0" fontId="44" fillId="0" borderId="8" xfId="0" applyFont="1" applyBorder="1" applyAlignment="1">
      <alignment horizontal="center" vertical="center"/>
    </xf>
    <xf numFmtId="0" fontId="44" fillId="0" borderId="8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0" fontId="3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7" fontId="1" fillId="0" borderId="0" xfId="0" quotePrefix="1" applyNumberFormat="1" applyFont="1" applyAlignment="1">
      <alignment horizontal="center"/>
    </xf>
    <xf numFmtId="0" fontId="11" fillId="0" borderId="1" xfId="1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9" fillId="32" borderId="0" xfId="0" applyFont="1" applyFill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 readingOrder="1"/>
    </xf>
    <xf numFmtId="0" fontId="0" fillId="32" borderId="1" xfId="0" applyFill="1" applyBorder="1" applyAlignment="1">
      <alignment horizontal="center" vertical="center"/>
    </xf>
    <xf numFmtId="0" fontId="0" fillId="32" borderId="1" xfId="0" applyFill="1" applyBorder="1" applyAlignment="1">
      <alignment vertical="center"/>
    </xf>
    <xf numFmtId="0" fontId="0" fillId="32" borderId="1" xfId="0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7" fillId="54" borderId="8" xfId="0" applyFont="1" applyFill="1" applyBorder="1" applyAlignment="1">
      <alignment horizontal="center" vertical="center" wrapText="1"/>
    </xf>
    <xf numFmtId="0" fontId="37" fillId="54" borderId="8" xfId="0" applyFont="1" applyFill="1" applyBorder="1" applyAlignment="1">
      <alignment vertical="center" wrapText="1"/>
    </xf>
    <xf numFmtId="0" fontId="44" fillId="54" borderId="8" xfId="0" applyFont="1" applyFill="1" applyBorder="1" applyAlignment="1">
      <alignment horizontal="center" vertical="center"/>
    </xf>
    <xf numFmtId="0" fontId="44" fillId="54" borderId="8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" fillId="2" borderId="8" xfId="0" applyFont="1" applyFill="1" applyBorder="1" applyAlignment="1">
      <alignment horizontal="center"/>
    </xf>
    <xf numFmtId="0" fontId="1" fillId="55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61" fillId="2" borderId="8" xfId="0" applyFont="1" applyFill="1" applyBorder="1" applyAlignment="1">
      <alignment horizontal="center" vertical="center" wrapText="1"/>
    </xf>
    <xf numFmtId="0" fontId="61" fillId="40" borderId="8" xfId="0" applyFont="1" applyFill="1" applyBorder="1" applyAlignment="1">
      <alignment horizontal="center" vertical="center" wrapText="1"/>
    </xf>
    <xf numFmtId="0" fontId="61" fillId="55" borderId="8" xfId="0" applyFont="1" applyFill="1" applyBorder="1" applyAlignment="1">
      <alignment horizontal="center" vertical="center" wrapText="1"/>
    </xf>
    <xf numFmtId="0" fontId="61" fillId="3" borderId="8" xfId="0" applyFont="1" applyFill="1" applyBorder="1" applyAlignment="1">
      <alignment horizontal="center" vertical="center" wrapText="1"/>
    </xf>
    <xf numFmtId="0" fontId="61" fillId="3" borderId="24" xfId="0" applyFont="1" applyFill="1" applyBorder="1" applyAlignment="1">
      <alignment horizontal="center" vertical="center" wrapText="1"/>
    </xf>
    <xf numFmtId="0" fontId="61" fillId="40" borderId="24" xfId="0" applyFont="1" applyFill="1" applyBorder="1" applyAlignment="1">
      <alignment horizontal="center" vertical="center" wrapText="1"/>
    </xf>
    <xf numFmtId="0" fontId="61" fillId="56" borderId="8" xfId="0" applyFont="1" applyFill="1" applyBorder="1" applyAlignment="1">
      <alignment horizontal="center" vertical="center" wrapText="1"/>
    </xf>
    <xf numFmtId="0" fontId="61" fillId="56" borderId="24" xfId="0" applyFont="1" applyFill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36" fillId="2" borderId="8" xfId="0" applyFont="1" applyFill="1" applyBorder="1" applyAlignment="1">
      <alignment horizontal="center"/>
    </xf>
    <xf numFmtId="0" fontId="51" fillId="2" borderId="6" xfId="0" applyFont="1" applyFill="1" applyBorder="1" applyAlignment="1">
      <alignment wrapText="1"/>
    </xf>
    <xf numFmtId="0" fontId="51" fillId="2" borderId="7" xfId="0" applyFont="1" applyFill="1" applyBorder="1" applyAlignment="1">
      <alignment wrapText="1"/>
    </xf>
    <xf numFmtId="0" fontId="36" fillId="2" borderId="6" xfId="0" applyFont="1" applyFill="1" applyBorder="1" applyAlignment="1">
      <alignment horizontal="center"/>
    </xf>
    <xf numFmtId="0" fontId="36" fillId="2" borderId="6" xfId="0" applyFont="1" applyFill="1" applyBorder="1" applyAlignment="1">
      <alignment horizontal="center" vertical="center"/>
    </xf>
    <xf numFmtId="0" fontId="36" fillId="2" borderId="6" xfId="0" applyFont="1" applyFill="1" applyBorder="1"/>
    <xf numFmtId="0" fontId="51" fillId="0" borderId="8" xfId="0" applyFont="1" applyBorder="1" applyAlignment="1">
      <alignment horizontal="center" wrapText="1"/>
    </xf>
    <xf numFmtId="0" fontId="55" fillId="3" borderId="1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vertical="center"/>
    </xf>
    <xf numFmtId="0" fontId="37" fillId="2" borderId="1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25" fillId="0" borderId="0" xfId="0" applyFont="1" applyAlignment="1">
      <alignment vertical="center"/>
    </xf>
    <xf numFmtId="0" fontId="55" fillId="2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5" fillId="0" borderId="24" xfId="3" applyFont="1" applyFill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55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55" fillId="0" borderId="2" xfId="3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12" fillId="0" borderId="2" xfId="4" applyBorder="1" applyAlignment="1">
      <alignment horizontal="center" vertical="center"/>
    </xf>
    <xf numFmtId="0" fontId="12" fillId="0" borderId="0" xfId="4"/>
    <xf numFmtId="0" fontId="12" fillId="0" borderId="1" xfId="4" applyBorder="1"/>
    <xf numFmtId="0" fontId="55" fillId="3" borderId="1" xfId="0" applyFont="1" applyFill="1" applyBorder="1" applyAlignment="1">
      <alignment vertical="center" wrapText="1"/>
    </xf>
    <xf numFmtId="0" fontId="55" fillId="7" borderId="1" xfId="0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vertical="center"/>
    </xf>
    <xf numFmtId="0" fontId="12" fillId="3" borderId="1" xfId="4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4" fillId="57" borderId="30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wrapText="1"/>
    </xf>
    <xf numFmtId="0" fontId="42" fillId="0" borderId="1" xfId="0" applyFont="1" applyBorder="1" applyAlignment="1">
      <alignment horizontal="center" vertical="center" wrapText="1" readingOrder="1"/>
    </xf>
    <xf numFmtId="0" fontId="62" fillId="58" borderId="3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14" borderId="31" xfId="0" applyFont="1" applyFill="1" applyBorder="1" applyAlignment="1">
      <alignment horizontal="center" vertical="center" wrapText="1"/>
    </xf>
    <xf numFmtId="0" fontId="9" fillId="14" borderId="37" xfId="0" applyFont="1" applyFill="1" applyBorder="1" applyAlignment="1">
      <alignment horizontal="center" vertical="center" wrapText="1"/>
    </xf>
    <xf numFmtId="0" fontId="9" fillId="14" borderId="44" xfId="0" applyFont="1" applyFill="1" applyBorder="1" applyAlignment="1">
      <alignment horizontal="center" vertical="center" wrapText="1"/>
    </xf>
    <xf numFmtId="0" fontId="9" fillId="14" borderId="35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14" borderId="8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50" borderId="8" xfId="0" applyFont="1" applyFill="1" applyBorder="1" applyAlignment="1">
      <alignment horizontal="center" vertical="center" wrapText="1"/>
    </xf>
    <xf numFmtId="0" fontId="9" fillId="11" borderId="24" xfId="0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9" fillId="11" borderId="39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50" borderId="39" xfId="0" applyFont="1" applyFill="1" applyBorder="1" applyAlignment="1">
      <alignment horizontal="center" vertical="center" wrapText="1"/>
    </xf>
    <xf numFmtId="0" fontId="9" fillId="50" borderId="38" xfId="0" applyFont="1" applyFill="1" applyBorder="1" applyAlignment="1">
      <alignment horizontal="center" vertical="center" wrapText="1"/>
    </xf>
    <xf numFmtId="0" fontId="9" fillId="50" borderId="30" xfId="0" applyFont="1" applyFill="1" applyBorder="1" applyAlignment="1">
      <alignment horizontal="center" vertical="center" wrapText="1"/>
    </xf>
    <xf numFmtId="0" fontId="9" fillId="50" borderId="37" xfId="0" applyFont="1" applyFill="1" applyBorder="1" applyAlignment="1">
      <alignment horizontal="center" vertical="center" wrapText="1"/>
    </xf>
    <xf numFmtId="0" fontId="9" fillId="50" borderId="3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9" fillId="50" borderId="33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9" fillId="53" borderId="8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5" fillId="2" borderId="4" xfId="0" applyFont="1" applyFill="1" applyBorder="1" applyAlignment="1">
      <alignment horizontal="center" vertical="center" wrapText="1"/>
    </xf>
    <xf numFmtId="0" fontId="55" fillId="2" borderId="5" xfId="0" applyFont="1" applyFill="1" applyBorder="1" applyAlignment="1">
      <alignment horizontal="center" vertical="center" wrapText="1"/>
    </xf>
    <xf numFmtId="0" fontId="55" fillId="2" borderId="6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6" fillId="25" borderId="4" xfId="0" applyFont="1" applyFill="1" applyBorder="1" applyAlignment="1">
      <alignment horizontal="center" vertical="center"/>
    </xf>
    <xf numFmtId="0" fontId="36" fillId="25" borderId="5" xfId="0" applyFont="1" applyFill="1" applyBorder="1" applyAlignment="1">
      <alignment horizontal="center" vertical="center"/>
    </xf>
    <xf numFmtId="0" fontId="36" fillId="25" borderId="6" xfId="0" applyFont="1" applyFill="1" applyBorder="1" applyAlignment="1">
      <alignment horizontal="center" vertical="center"/>
    </xf>
    <xf numFmtId="0" fontId="36" fillId="16" borderId="4" xfId="0" applyFont="1" applyFill="1" applyBorder="1" applyAlignment="1">
      <alignment horizontal="center" vertical="center"/>
    </xf>
    <xf numFmtId="0" fontId="36" fillId="16" borderId="5" xfId="0" applyFont="1" applyFill="1" applyBorder="1" applyAlignment="1">
      <alignment horizontal="center" vertical="center"/>
    </xf>
    <xf numFmtId="0" fontId="36" fillId="16" borderId="6" xfId="0" applyFont="1" applyFill="1" applyBorder="1" applyAlignment="1">
      <alignment horizontal="center" vertical="center"/>
    </xf>
    <xf numFmtId="0" fontId="36" fillId="24" borderId="4" xfId="0" applyFont="1" applyFill="1" applyBorder="1" applyAlignment="1">
      <alignment horizontal="center" vertical="center"/>
    </xf>
    <xf numFmtId="0" fontId="36" fillId="24" borderId="5" xfId="0" applyFont="1" applyFill="1" applyBorder="1" applyAlignment="1">
      <alignment horizontal="center" vertical="center"/>
    </xf>
    <xf numFmtId="0" fontId="36" fillId="24" borderId="6" xfId="0" applyFont="1" applyFill="1" applyBorder="1" applyAlignment="1">
      <alignment horizontal="center" vertical="center"/>
    </xf>
    <xf numFmtId="0" fontId="36" fillId="23" borderId="4" xfId="0" applyFont="1" applyFill="1" applyBorder="1" applyAlignment="1">
      <alignment horizontal="center" vertical="center"/>
    </xf>
    <xf numFmtId="0" fontId="36" fillId="23" borderId="5" xfId="0" applyFont="1" applyFill="1" applyBorder="1" applyAlignment="1">
      <alignment horizontal="center" vertical="center"/>
    </xf>
    <xf numFmtId="0" fontId="36" fillId="23" borderId="6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0" fontId="36" fillId="25" borderId="1" xfId="0" applyFont="1" applyFill="1" applyBorder="1" applyAlignment="1">
      <alignment horizontal="center" vertical="center"/>
    </xf>
    <xf numFmtId="0" fontId="36" fillId="26" borderId="1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26" borderId="4" xfId="0" applyFont="1" applyFill="1" applyBorder="1" applyAlignment="1">
      <alignment horizontal="center" vertical="center"/>
    </xf>
    <xf numFmtId="0" fontId="36" fillId="26" borderId="5" xfId="0" applyFont="1" applyFill="1" applyBorder="1" applyAlignment="1">
      <alignment horizontal="center" vertical="center"/>
    </xf>
    <xf numFmtId="0" fontId="36" fillId="26" borderId="6" xfId="0" applyFont="1" applyFill="1" applyBorder="1" applyAlignment="1">
      <alignment horizontal="center" vertical="center"/>
    </xf>
    <xf numFmtId="0" fontId="41" fillId="27" borderId="4" xfId="0" applyFont="1" applyFill="1" applyBorder="1" applyAlignment="1">
      <alignment horizontal="center" vertical="center"/>
    </xf>
    <xf numFmtId="0" fontId="41" fillId="27" borderId="5" xfId="0" applyFont="1" applyFill="1" applyBorder="1" applyAlignment="1">
      <alignment horizontal="center" vertical="center"/>
    </xf>
    <xf numFmtId="0" fontId="41" fillId="27" borderId="6" xfId="0" applyFont="1" applyFill="1" applyBorder="1" applyAlignment="1">
      <alignment horizontal="center" vertical="center"/>
    </xf>
    <xf numFmtId="0" fontId="36" fillId="11" borderId="4" xfId="0" applyFont="1" applyFill="1" applyBorder="1" applyAlignment="1">
      <alignment horizontal="center" vertical="center"/>
    </xf>
    <xf numFmtId="0" fontId="36" fillId="11" borderId="5" xfId="0" applyFont="1" applyFill="1" applyBorder="1" applyAlignment="1">
      <alignment horizontal="center" vertical="center"/>
    </xf>
    <xf numFmtId="0" fontId="36" fillId="11" borderId="6" xfId="0" applyFont="1" applyFill="1" applyBorder="1" applyAlignment="1">
      <alignment horizontal="center" vertical="center"/>
    </xf>
    <xf numFmtId="0" fontId="41" fillId="28" borderId="4" xfId="0" applyFont="1" applyFill="1" applyBorder="1" applyAlignment="1">
      <alignment horizontal="center" vertical="center"/>
    </xf>
    <xf numFmtId="0" fontId="41" fillId="28" borderId="5" xfId="0" applyFont="1" applyFill="1" applyBorder="1" applyAlignment="1">
      <alignment horizontal="center" vertical="center"/>
    </xf>
    <xf numFmtId="0" fontId="41" fillId="28" borderId="6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6" fillId="11" borderId="1" xfId="0" applyFont="1" applyFill="1" applyBorder="1" applyAlignment="1">
      <alignment horizontal="center" vertical="center"/>
    </xf>
    <xf numFmtId="0" fontId="41" fillId="27" borderId="1" xfId="0" applyFont="1" applyFill="1" applyBorder="1" applyAlignment="1">
      <alignment horizontal="center" vertical="center"/>
    </xf>
    <xf numFmtId="0" fontId="41" fillId="28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22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textRotation="90"/>
    </xf>
    <xf numFmtId="0" fontId="36" fillId="23" borderId="1" xfId="0" applyFont="1" applyFill="1" applyBorder="1" applyAlignment="1">
      <alignment horizontal="center" vertical="center"/>
    </xf>
    <xf numFmtId="0" fontId="36" fillId="24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/>
    </xf>
    <xf numFmtId="0" fontId="45" fillId="0" borderId="9" xfId="0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45" fillId="0" borderId="2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14" fontId="57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wrapText="1"/>
    </xf>
    <xf numFmtId="0" fontId="56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45" fillId="33" borderId="32" xfId="0" applyFont="1" applyFill="1" applyBorder="1" applyAlignment="1">
      <alignment horizontal="center" vertical="center"/>
    </xf>
    <xf numFmtId="0" fontId="45" fillId="33" borderId="25" xfId="0" applyFont="1" applyFill="1" applyBorder="1" applyAlignment="1">
      <alignment horizontal="center" vertical="center"/>
    </xf>
    <xf numFmtId="0" fontId="45" fillId="5" borderId="40" xfId="0" applyFont="1" applyFill="1" applyBorder="1" applyAlignment="1">
      <alignment horizontal="center" vertical="center"/>
    </xf>
    <xf numFmtId="0" fontId="45" fillId="5" borderId="37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44" fontId="0" fillId="0" borderId="0" xfId="5" applyFont="1" applyAlignment="1">
      <alignment horizontal="center" vertical="center"/>
    </xf>
    <xf numFmtId="16" fontId="24" fillId="0" borderId="1" xfId="0" quotePrefix="1" applyNumberFormat="1" applyFont="1" applyBorder="1" applyAlignment="1">
      <alignment horizontal="center" vertical="center"/>
    </xf>
    <xf numFmtId="17" fontId="24" fillId="0" borderId="1" xfId="0" quotePrefix="1" applyNumberFormat="1" applyFont="1" applyBorder="1" applyAlignment="1">
      <alignment horizontal="center" vertical="center"/>
    </xf>
    <xf numFmtId="17" fontId="24" fillId="0" borderId="1" xfId="0" applyNumberFormat="1" applyFont="1" applyBorder="1" applyAlignment="1">
      <alignment horizontal="center" vertical="center"/>
    </xf>
    <xf numFmtId="0" fontId="24" fillId="0" borderId="49" xfId="0" quotePrefix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16" fontId="24" fillId="0" borderId="49" xfId="0" quotePrefix="1" applyNumberFormat="1" applyFont="1" applyBorder="1" applyAlignment="1">
      <alignment horizontal="center" vertical="center"/>
    </xf>
    <xf numFmtId="16" fontId="24" fillId="0" borderId="7" xfId="0" applyNumberFormat="1" applyFont="1" applyBorder="1" applyAlignment="1">
      <alignment horizontal="center" vertical="center"/>
    </xf>
    <xf numFmtId="0" fontId="18" fillId="47" borderId="8" xfId="0" applyFont="1" applyFill="1" applyBorder="1" applyAlignment="1">
      <alignment horizontal="center" vertical="center" wrapText="1"/>
    </xf>
    <xf numFmtId="0" fontId="18" fillId="49" borderId="8" xfId="0" applyFont="1" applyFill="1" applyBorder="1" applyAlignment="1">
      <alignment horizontal="center" vertical="center" wrapText="1"/>
    </xf>
    <xf numFmtId="0" fontId="18" fillId="45" borderId="8" xfId="0" applyFont="1" applyFill="1" applyBorder="1" applyAlignment="1">
      <alignment horizontal="center" vertical="center" wrapText="1"/>
    </xf>
    <xf numFmtId="0" fontId="18" fillId="46" borderId="8" xfId="0" applyFont="1" applyFill="1" applyBorder="1" applyAlignment="1">
      <alignment horizontal="center" vertical="center" wrapText="1"/>
    </xf>
    <xf numFmtId="0" fontId="18" fillId="46" borderId="30" xfId="0" applyFont="1" applyFill="1" applyBorder="1" applyAlignment="1">
      <alignment horizontal="center" vertical="center" wrapText="1"/>
    </xf>
    <xf numFmtId="0" fontId="17" fillId="44" borderId="8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7" fontId="24" fillId="0" borderId="42" xfId="0" quotePrefix="1" applyNumberFormat="1" applyFont="1" applyBorder="1" applyAlignment="1">
      <alignment horizontal="center" vertical="center"/>
    </xf>
    <xf numFmtId="17" fontId="24" fillId="0" borderId="33" xfId="0" applyNumberFormat="1" applyFont="1" applyBorder="1" applyAlignment="1">
      <alignment horizontal="center" vertical="center"/>
    </xf>
    <xf numFmtId="0" fontId="24" fillId="0" borderId="36" xfId="0" quotePrefix="1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47" borderId="30" xfId="0" applyFont="1" applyFill="1" applyBorder="1" applyAlignment="1">
      <alignment horizontal="center" vertical="center" wrapText="1"/>
    </xf>
    <xf numFmtId="0" fontId="44" fillId="0" borderId="31" xfId="0" applyFont="1" applyBorder="1" applyAlignment="1">
      <alignment vertical="center"/>
    </xf>
    <xf numFmtId="0" fontId="44" fillId="0" borderId="40" xfId="0" applyFont="1" applyBorder="1" applyAlignment="1">
      <alignment vertical="center"/>
    </xf>
    <xf numFmtId="0" fontId="44" fillId="0" borderId="36" xfId="0" applyFont="1" applyBorder="1" applyAlignment="1">
      <alignment vertical="center"/>
    </xf>
    <xf numFmtId="0" fontId="44" fillId="0" borderId="34" xfId="0" applyFont="1" applyBorder="1" applyAlignment="1">
      <alignment vertical="center"/>
    </xf>
    <xf numFmtId="17" fontId="24" fillId="0" borderId="49" xfId="0" quotePrefix="1" applyNumberFormat="1" applyFont="1" applyBorder="1" applyAlignment="1">
      <alignment horizontal="center" vertical="center"/>
    </xf>
    <xf numFmtId="17" fontId="24" fillId="0" borderId="7" xfId="0" applyNumberFormat="1" applyFont="1" applyBorder="1" applyAlignment="1">
      <alignment horizontal="center" vertical="center"/>
    </xf>
    <xf numFmtId="0" fontId="18" fillId="49" borderId="30" xfId="0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16" fontId="24" fillId="0" borderId="36" xfId="0" applyNumberFormat="1" applyFont="1" applyBorder="1" applyAlignment="1">
      <alignment horizontal="center" vertical="center"/>
    </xf>
    <xf numFmtId="16" fontId="24" fillId="0" borderId="34" xfId="0" applyNumberFormat="1" applyFont="1" applyBorder="1" applyAlignment="1">
      <alignment horizontal="center" vertical="center"/>
    </xf>
    <xf numFmtId="0" fontId="24" fillId="0" borderId="1" xfId="0" quotePrefix="1" applyFont="1" applyBorder="1" applyAlignment="1">
      <alignment horizontal="center" vertical="center"/>
    </xf>
    <xf numFmtId="0" fontId="44" fillId="0" borderId="37" xfId="0" applyFont="1" applyBorder="1" applyAlignment="1">
      <alignment vertical="center"/>
    </xf>
    <xf numFmtId="0" fontId="44" fillId="0" borderId="33" xfId="0" applyFont="1" applyBorder="1" applyAlignment="1">
      <alignment vertical="center"/>
    </xf>
    <xf numFmtId="0" fontId="45" fillId="0" borderId="3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48" fillId="0" borderId="39" xfId="0" applyFont="1" applyBorder="1" applyAlignment="1">
      <alignment horizontal="center" vertical="center" textRotation="90" wrapText="1"/>
    </xf>
    <xf numFmtId="0" fontId="48" fillId="0" borderId="38" xfId="0" applyFont="1" applyBorder="1" applyAlignment="1">
      <alignment horizontal="center" vertical="center" textRotation="90" wrapText="1"/>
    </xf>
    <xf numFmtId="0" fontId="48" fillId="0" borderId="30" xfId="0" applyFont="1" applyBorder="1" applyAlignment="1">
      <alignment horizontal="center" vertical="center" textRotation="90" wrapText="1"/>
    </xf>
    <xf numFmtId="0" fontId="49" fillId="48" borderId="30" xfId="0" applyFont="1" applyFill="1" applyBorder="1" applyAlignment="1">
      <alignment horizontal="center" vertical="center" textRotation="90"/>
    </xf>
    <xf numFmtId="0" fontId="49" fillId="48" borderId="8" xfId="0" applyFont="1" applyFill="1" applyBorder="1" applyAlignment="1">
      <alignment horizontal="center" vertical="center" textRotation="90"/>
    </xf>
    <xf numFmtId="0" fontId="24" fillId="0" borderId="35" xfId="0" applyFont="1" applyBorder="1" applyAlignment="1">
      <alignment horizontal="center" vertical="center" textRotation="90"/>
    </xf>
    <xf numFmtId="0" fontId="24" fillId="0" borderId="33" xfId="0" applyFont="1" applyBorder="1" applyAlignment="1">
      <alignment horizontal="center" vertical="center" textRotation="90"/>
    </xf>
    <xf numFmtId="0" fontId="7" fillId="0" borderId="19" xfId="0" applyFont="1" applyBorder="1" applyAlignment="1">
      <alignment horizontal="center" vertical="center" wrapText="1" readingOrder="1"/>
    </xf>
    <xf numFmtId="0" fontId="7" fillId="0" borderId="15" xfId="0" applyFont="1" applyBorder="1" applyAlignment="1">
      <alignment readingOrder="1"/>
    </xf>
    <xf numFmtId="0" fontId="38" fillId="20" borderId="12" xfId="0" applyFont="1" applyFill="1" applyBorder="1" applyAlignment="1">
      <alignment horizontal="center" vertical="center" wrapText="1" readingOrder="1"/>
    </xf>
    <xf numFmtId="0" fontId="38" fillId="20" borderId="13" xfId="0" applyFont="1" applyFill="1" applyBorder="1" applyAlignment="1">
      <alignment horizontal="center" vertical="center" wrapText="1" readingOrder="1"/>
    </xf>
    <xf numFmtId="0" fontId="38" fillId="20" borderId="14" xfId="0" applyFont="1" applyFill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center" readingOrder="1"/>
    </xf>
    <xf numFmtId="0" fontId="9" fillId="17" borderId="1" xfId="0" applyFont="1" applyFill="1" applyBorder="1" applyAlignment="1">
      <alignment horizontal="center" vertical="center" wrapText="1" readingOrder="1"/>
    </xf>
    <xf numFmtId="0" fontId="9" fillId="30" borderId="1" xfId="0" applyFont="1" applyFill="1" applyBorder="1" applyAlignment="1">
      <alignment horizontal="center" vertical="center" wrapText="1" readingOrder="1"/>
    </xf>
    <xf numFmtId="0" fontId="7" fillId="0" borderId="18" xfId="0" applyFont="1" applyBorder="1" applyAlignment="1">
      <alignment readingOrder="1"/>
    </xf>
    <xf numFmtId="0" fontId="19" fillId="6" borderId="21" xfId="0" applyFont="1" applyFill="1" applyBorder="1" applyAlignment="1">
      <alignment horizontal="center" vertical="center" wrapText="1" readingOrder="1"/>
    </xf>
    <xf numFmtId="0" fontId="19" fillId="6" borderId="1" xfId="0" applyFont="1" applyFill="1" applyBorder="1" applyAlignment="1">
      <alignment horizontal="center" vertical="center" wrapText="1" readingOrder="1"/>
    </xf>
    <xf numFmtId="0" fontId="19" fillId="6" borderId="11" xfId="0" applyFont="1" applyFill="1" applyBorder="1" applyAlignment="1">
      <alignment horizontal="center" vertical="center" wrapText="1" readingOrder="1"/>
    </xf>
    <xf numFmtId="0" fontId="29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readingOrder="1"/>
    </xf>
    <xf numFmtId="0" fontId="19" fillId="0" borderId="1" xfId="0" applyFont="1" applyBorder="1" applyAlignment="1">
      <alignment horizontal="center" vertical="center" wrapText="1" readingOrder="1"/>
    </xf>
    <xf numFmtId="0" fontId="19" fillId="0" borderId="4" xfId="0" applyFont="1" applyBorder="1" applyAlignment="1">
      <alignment horizontal="center" vertical="center" wrapText="1" readingOrder="1"/>
    </xf>
    <xf numFmtId="0" fontId="19" fillId="0" borderId="6" xfId="0" applyFont="1" applyBorder="1" applyAlignment="1">
      <alignment horizontal="center" vertical="center" wrapText="1" readingOrder="1"/>
    </xf>
    <xf numFmtId="0" fontId="19" fillId="7" borderId="1" xfId="0" applyFont="1" applyFill="1" applyBorder="1" applyAlignment="1">
      <alignment horizontal="center" vertical="center" wrapText="1" readingOrder="1"/>
    </xf>
    <xf numFmtId="0" fontId="19" fillId="33" borderId="21" xfId="0" applyFont="1" applyFill="1" applyBorder="1" applyAlignment="1">
      <alignment horizontal="center" vertical="center" wrapText="1" readingOrder="1"/>
    </xf>
    <xf numFmtId="0" fontId="19" fillId="33" borderId="1" xfId="0" applyFont="1" applyFill="1" applyBorder="1" applyAlignment="1">
      <alignment horizontal="center" vertical="center" wrapText="1" readingOrder="1"/>
    </xf>
    <xf numFmtId="0" fontId="19" fillId="33" borderId="11" xfId="0" applyFont="1" applyFill="1" applyBorder="1" applyAlignment="1">
      <alignment horizontal="center" vertical="center" wrapText="1" readingOrder="1"/>
    </xf>
    <xf numFmtId="0" fontId="22" fillId="5" borderId="12" xfId="0" applyFont="1" applyFill="1" applyBorder="1" applyAlignment="1">
      <alignment horizontal="center" vertical="center" wrapText="1" readingOrder="1"/>
    </xf>
    <xf numFmtId="0" fontId="22" fillId="5" borderId="13" xfId="0" applyFont="1" applyFill="1" applyBorder="1" applyAlignment="1">
      <alignment horizontal="center" vertical="center" wrapText="1" readingOrder="1"/>
    </xf>
    <xf numFmtId="0" fontId="22" fillId="5" borderId="14" xfId="0" applyFont="1" applyFill="1" applyBorder="1" applyAlignment="1">
      <alignment horizontal="center" vertical="center" wrapText="1" readingOrder="1"/>
    </xf>
    <xf numFmtId="0" fontId="23" fillId="0" borderId="26" xfId="0" applyFont="1" applyBorder="1" applyAlignment="1">
      <alignment horizontal="center" vertical="center" wrapText="1" readingOrder="1"/>
    </xf>
    <xf numFmtId="0" fontId="7" fillId="0" borderId="27" xfId="0" applyFont="1" applyBorder="1" applyAlignment="1">
      <alignment readingOrder="1"/>
    </xf>
    <xf numFmtId="0" fontId="23" fillId="0" borderId="12" xfId="0" applyFont="1" applyBorder="1" applyAlignment="1">
      <alignment horizontal="center" vertical="center" wrapText="1" readingOrder="1"/>
    </xf>
    <xf numFmtId="0" fontId="23" fillId="0" borderId="13" xfId="0" applyFont="1" applyBorder="1" applyAlignment="1">
      <alignment horizontal="center" vertical="center" wrapText="1" readingOrder="1"/>
    </xf>
    <xf numFmtId="0" fontId="23" fillId="0" borderId="14" xfId="0" applyFont="1" applyBorder="1" applyAlignment="1">
      <alignment horizontal="center" vertical="center" wrapText="1" readingOrder="1"/>
    </xf>
    <xf numFmtId="0" fontId="24" fillId="0" borderId="29" xfId="0" applyFont="1" applyBorder="1" applyAlignment="1">
      <alignment horizontal="center" vertical="center" wrapText="1" readingOrder="1"/>
    </xf>
    <xf numFmtId="0" fontId="19" fillId="5" borderId="4" xfId="0" applyFont="1" applyFill="1" applyBorder="1" applyAlignment="1">
      <alignment horizontal="center" vertical="center" wrapText="1" readingOrder="1"/>
    </xf>
    <xf numFmtId="0" fontId="19" fillId="5" borderId="6" xfId="0" applyFont="1" applyFill="1" applyBorder="1" applyAlignment="1">
      <alignment horizontal="center" vertical="center" wrapText="1" readingOrder="1"/>
    </xf>
    <xf numFmtId="0" fontId="20" fillId="19" borderId="1" xfId="0" applyFont="1" applyFill="1" applyBorder="1" applyAlignment="1">
      <alignment horizontal="center" vertical="center" wrapText="1" readingOrder="1"/>
    </xf>
    <xf numFmtId="0" fontId="2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2" borderId="4" xfId="0" applyFill="1" applyBorder="1" applyAlignment="1">
      <alignment horizontal="center" vertical="center"/>
    </xf>
    <xf numFmtId="0" fontId="0" fillId="32" borderId="6" xfId="0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3" fillId="10" borderId="5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55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3" fillId="15" borderId="5" xfId="0" applyFont="1" applyFill="1" applyBorder="1" applyAlignment="1">
      <alignment horizontal="center" vertical="center"/>
    </xf>
    <xf numFmtId="0" fontId="13" fillId="15" borderId="6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9" xfId="0" applyFont="1" applyBorder="1" applyAlignment="1"/>
  </cellXfs>
  <cellStyles count="6">
    <cellStyle name="Hipervínculo" xfId="3" builtinId="8"/>
    <cellStyle name="Hyperlink" xfId="4" xr:uid="{00000000-000B-0000-0000-000008000000}"/>
    <cellStyle name="Moneda" xfId="5" builtinId="4"/>
    <cellStyle name="Normal" xfId="0" builtinId="0"/>
    <cellStyle name="Normal 2" xfId="1" xr:uid="{6F7094FD-4BCC-484C-BC93-C80E3D14ED7B}"/>
    <cellStyle name="Normal 2 3" xfId="2" xr:uid="{2DDEEA77-016C-431C-B874-11A30565BF4C}"/>
  </cellStyles>
  <dxfs count="119"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3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BEE3"/>
      <color rgb="FFC712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8</xdr:row>
      <xdr:rowOff>188059</xdr:rowOff>
    </xdr:to>
    <xdr:sp macro="" textlink="">
      <xdr:nvSpPr>
        <xdr:cNvPr id="2" name="AutoShape 7" descr="https://peoplesoft-svrhrps1.servicios.javerianacali.edu.co/cs/hr9prd/cache/PT_PIXEL_ESP_1.gif">
          <a:extLst>
            <a:ext uri="{FF2B5EF4-FFF2-40B4-BE49-F238E27FC236}">
              <a16:creationId xmlns:a16="http://schemas.microsoft.com/office/drawing/2014/main" id="{227AFCC6-19DA-454C-A481-ABE37DC52F63}"/>
            </a:ext>
          </a:extLst>
        </xdr:cNvPr>
        <xdr:cNvSpPr>
          <a:spLocks noChangeAspect="1" noChangeArrowheads="1"/>
        </xdr:cNvSpPr>
      </xdr:nvSpPr>
      <xdr:spPr bwMode="auto">
        <a:xfrm>
          <a:off x="0" y="4057650"/>
          <a:ext cx="304800" cy="302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8</xdr:row>
      <xdr:rowOff>94074</xdr:rowOff>
    </xdr:from>
    <xdr:ext cx="304800" cy="304444"/>
    <xdr:sp macro="" textlink="">
      <xdr:nvSpPr>
        <xdr:cNvPr id="3" name="AutoShape 7" descr="https://peoplesoft-svrhrps1.servicios.javerianacali.edu.co/cs/hr9prd/cache/PT_PIXEL_ESP_1.gif">
          <a:extLst>
            <a:ext uri="{FF2B5EF4-FFF2-40B4-BE49-F238E27FC236}">
              <a16:creationId xmlns:a16="http://schemas.microsoft.com/office/drawing/2014/main" id="{DE2A8EC1-AB6C-44ED-B41B-D273157DDFA0}"/>
            </a:ext>
          </a:extLst>
        </xdr:cNvPr>
        <xdr:cNvSpPr>
          <a:spLocks noChangeAspect="1" noChangeArrowheads="1"/>
        </xdr:cNvSpPr>
      </xdr:nvSpPr>
      <xdr:spPr bwMode="auto">
        <a:xfrm>
          <a:off x="0" y="4151724"/>
          <a:ext cx="304800" cy="304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abellangelr@javerianacali.edu.co" TargetMode="External"/><Relationship Id="rId2" Type="http://schemas.openxmlformats.org/officeDocument/2006/relationships/hyperlink" Target="mailto:bracarreno@javerianacali.edu.co" TargetMode="External"/><Relationship Id="rId1" Type="http://schemas.openxmlformats.org/officeDocument/2006/relationships/hyperlink" Target="mailto:manuelaalejandra06@javerianacali.edu.c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ivanalejandro2005@javerianacali.edu.co" TargetMode="External"/><Relationship Id="rId4" Type="http://schemas.openxmlformats.org/officeDocument/2006/relationships/hyperlink" Target="mailto:mariapaulaunigarro@javerianacali.edu.c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isalopez2003@javerianacali.edu.co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85B6-7C82-4265-866F-35A89A5B946B}">
  <sheetPr>
    <tabColor rgb="FF92D050"/>
  </sheetPr>
  <dimension ref="A1:L964"/>
  <sheetViews>
    <sheetView zoomScale="90" zoomScaleNormal="90" workbookViewId="0">
      <pane ySplit="2" topLeftCell="A33" activePane="bottomLeft" state="frozen"/>
      <selection pane="bottomLeft" activeCell="C57" sqref="C57:C60"/>
    </sheetView>
  </sheetViews>
  <sheetFormatPr defaultColWidth="12.7109375" defaultRowHeight="14.45"/>
  <cols>
    <col min="1" max="1" width="6.85546875" style="125" bestFit="1" customWidth="1"/>
    <col min="2" max="2" width="7.5703125" style="296" bestFit="1" customWidth="1"/>
    <col min="3" max="3" width="30" style="296" bestFit="1" customWidth="1"/>
    <col min="4" max="5" width="12.7109375" style="296" customWidth="1"/>
    <col min="6" max="6" width="33.7109375" style="296" customWidth="1"/>
    <col min="7" max="8" width="19.7109375" style="307" customWidth="1"/>
    <col min="9" max="9" width="5.85546875" style="296" customWidth="1"/>
    <col min="10" max="10" width="19.28515625" style="296" bestFit="1" customWidth="1"/>
    <col min="11" max="11" width="9.140625" style="296"/>
    <col min="12" max="12" width="6.5703125" style="296" bestFit="1" customWidth="1"/>
    <col min="13" max="13" width="18.85546875" style="296" customWidth="1"/>
    <col min="14" max="16384" width="12.7109375" style="296"/>
  </cols>
  <sheetData>
    <row r="1" spans="1:11" ht="15.6">
      <c r="A1" s="363" t="s">
        <v>0</v>
      </c>
      <c r="B1" s="364"/>
      <c r="C1" s="364"/>
      <c r="D1" s="364"/>
      <c r="E1" s="364"/>
      <c r="F1" s="364"/>
      <c r="G1" s="364"/>
      <c r="H1" s="365"/>
    </row>
    <row r="2" spans="1:11" ht="26.1" customHeight="1">
      <c r="A2" s="122" t="s">
        <v>1</v>
      </c>
      <c r="B2" s="122" t="s">
        <v>2</v>
      </c>
      <c r="C2" s="122" t="s">
        <v>3</v>
      </c>
      <c r="D2" s="122" t="s">
        <v>4</v>
      </c>
      <c r="E2" s="122" t="s">
        <v>5</v>
      </c>
      <c r="F2" s="122" t="s">
        <v>6</v>
      </c>
      <c r="G2" s="123" t="s">
        <v>7</v>
      </c>
      <c r="H2" s="124" t="s">
        <v>8</v>
      </c>
    </row>
    <row r="3" spans="1:11">
      <c r="A3" s="146" t="s">
        <v>9</v>
      </c>
      <c r="B3" s="146">
        <v>8980338</v>
      </c>
      <c r="C3" s="147" t="s">
        <v>10</v>
      </c>
      <c r="D3" s="146">
        <v>1110363251</v>
      </c>
      <c r="E3" s="146">
        <v>3016074169</v>
      </c>
      <c r="F3" s="146" t="s">
        <v>11</v>
      </c>
      <c r="G3" s="362" t="s">
        <v>12</v>
      </c>
      <c r="H3" s="362" t="s">
        <v>13</v>
      </c>
      <c r="J3" s="125" t="s">
        <v>9</v>
      </c>
      <c r="K3" s="125">
        <f t="shared" ref="K3:K16" si="0">COUNTIF($A$3:$A$60,J3)</f>
        <v>5</v>
      </c>
    </row>
    <row r="4" spans="1:11">
      <c r="A4" s="146" t="s">
        <v>9</v>
      </c>
      <c r="B4" s="146">
        <v>8973762</v>
      </c>
      <c r="C4" s="147" t="s">
        <v>14</v>
      </c>
      <c r="D4" s="146">
        <v>1110282182</v>
      </c>
      <c r="E4" s="146">
        <v>3216751035</v>
      </c>
      <c r="F4" s="297" t="s">
        <v>15</v>
      </c>
      <c r="G4" s="362"/>
      <c r="H4" s="362"/>
      <c r="J4" s="125" t="s">
        <v>16</v>
      </c>
      <c r="K4" s="125">
        <f t="shared" si="0"/>
        <v>5</v>
      </c>
    </row>
    <row r="5" spans="1:11">
      <c r="A5" s="146" t="s">
        <v>9</v>
      </c>
      <c r="B5" s="146">
        <v>8971386</v>
      </c>
      <c r="C5" s="147" t="s">
        <v>17</v>
      </c>
      <c r="D5" s="146">
        <v>1115062266</v>
      </c>
      <c r="E5" s="146">
        <v>3213790312</v>
      </c>
      <c r="F5" s="297" t="s">
        <v>18</v>
      </c>
      <c r="G5" s="362"/>
      <c r="H5" s="362"/>
      <c r="J5" s="125" t="s">
        <v>19</v>
      </c>
      <c r="K5" s="125">
        <f t="shared" si="0"/>
        <v>5</v>
      </c>
    </row>
    <row r="6" spans="1:11">
      <c r="A6" s="146" t="s">
        <v>9</v>
      </c>
      <c r="B6" s="146">
        <v>8940232</v>
      </c>
      <c r="C6" s="147" t="s">
        <v>20</v>
      </c>
      <c r="D6" s="146">
        <v>1126905535</v>
      </c>
      <c r="E6" s="146">
        <v>3167946220</v>
      </c>
      <c r="F6" s="297" t="s">
        <v>21</v>
      </c>
      <c r="G6" s="362"/>
      <c r="H6" s="362"/>
      <c r="J6" s="125" t="s">
        <v>22</v>
      </c>
      <c r="K6" s="125">
        <f t="shared" si="0"/>
        <v>5</v>
      </c>
    </row>
    <row r="7" spans="1:11">
      <c r="A7" s="146" t="s">
        <v>9</v>
      </c>
      <c r="B7" s="146">
        <v>8952989</v>
      </c>
      <c r="C7" s="147" t="s">
        <v>23</v>
      </c>
      <c r="D7" s="146">
        <v>1007914300</v>
      </c>
      <c r="E7" s="146">
        <v>2629251</v>
      </c>
      <c r="F7" s="297" t="s">
        <v>24</v>
      </c>
      <c r="G7" s="362"/>
      <c r="H7" s="362"/>
      <c r="J7" s="125" t="s">
        <v>25</v>
      </c>
      <c r="K7" s="125">
        <f t="shared" si="0"/>
        <v>5</v>
      </c>
    </row>
    <row r="8" spans="1:11">
      <c r="A8" s="148" t="s">
        <v>16</v>
      </c>
      <c r="B8" s="148">
        <v>9011526</v>
      </c>
      <c r="C8" s="149" t="s">
        <v>26</v>
      </c>
      <c r="D8" s="148">
        <v>1083881613</v>
      </c>
      <c r="E8" s="148">
        <v>3115864364</v>
      </c>
      <c r="F8" s="298" t="s">
        <v>27</v>
      </c>
      <c r="G8" s="358" t="s">
        <v>28</v>
      </c>
      <c r="H8" s="358" t="s">
        <v>29</v>
      </c>
      <c r="J8" s="125" t="s">
        <v>30</v>
      </c>
      <c r="K8" s="125">
        <f t="shared" si="0"/>
        <v>5</v>
      </c>
    </row>
    <row r="9" spans="1:11">
      <c r="A9" s="148" t="s">
        <v>16</v>
      </c>
      <c r="B9" s="148">
        <v>9010262</v>
      </c>
      <c r="C9" s="149" t="s">
        <v>31</v>
      </c>
      <c r="D9" s="148">
        <v>1084332580</v>
      </c>
      <c r="E9" s="148">
        <v>3216961096</v>
      </c>
      <c r="F9" s="298" t="s">
        <v>32</v>
      </c>
      <c r="G9" s="358"/>
      <c r="H9" s="358"/>
      <c r="J9" s="125" t="s">
        <v>33</v>
      </c>
      <c r="K9" s="125">
        <f t="shared" si="0"/>
        <v>5</v>
      </c>
    </row>
    <row r="10" spans="1:11">
      <c r="A10" s="148" t="s">
        <v>16</v>
      </c>
      <c r="B10" s="299">
        <v>8992594</v>
      </c>
      <c r="C10" s="150" t="s">
        <v>34</v>
      </c>
      <c r="D10" s="148">
        <v>1144128196</v>
      </c>
      <c r="E10" s="148">
        <v>3166205533</v>
      </c>
      <c r="F10" s="300" t="s">
        <v>35</v>
      </c>
      <c r="G10" s="358"/>
      <c r="H10" s="358"/>
      <c r="J10" s="125" t="s">
        <v>36</v>
      </c>
      <c r="K10" s="125">
        <f t="shared" si="0"/>
        <v>5</v>
      </c>
    </row>
    <row r="11" spans="1:11">
      <c r="A11" s="148" t="s">
        <v>16</v>
      </c>
      <c r="B11" s="148">
        <v>9009896</v>
      </c>
      <c r="C11" s="149" t="s">
        <v>37</v>
      </c>
      <c r="D11" s="148">
        <v>1109186202</v>
      </c>
      <c r="E11" s="148">
        <v>6024077442</v>
      </c>
      <c r="F11" s="298" t="s">
        <v>38</v>
      </c>
      <c r="G11" s="358"/>
      <c r="H11" s="358"/>
      <c r="J11" s="125" t="s">
        <v>39</v>
      </c>
      <c r="K11" s="125">
        <f t="shared" si="0"/>
        <v>5</v>
      </c>
    </row>
    <row r="12" spans="1:11">
      <c r="A12" s="148" t="s">
        <v>16</v>
      </c>
      <c r="B12" s="148">
        <v>8993136</v>
      </c>
      <c r="C12" s="149" t="s">
        <v>40</v>
      </c>
      <c r="D12" s="148">
        <v>1105371899</v>
      </c>
      <c r="E12" s="148">
        <v>3006274108</v>
      </c>
      <c r="F12" s="298" t="s">
        <v>41</v>
      </c>
      <c r="G12" s="358"/>
      <c r="H12" s="358"/>
      <c r="J12" s="125" t="s">
        <v>42</v>
      </c>
      <c r="K12" s="125">
        <f t="shared" si="0"/>
        <v>4</v>
      </c>
    </row>
    <row r="13" spans="1:11">
      <c r="A13" s="146" t="s">
        <v>19</v>
      </c>
      <c r="B13" s="146">
        <v>8986174</v>
      </c>
      <c r="C13" s="147" t="s">
        <v>43</v>
      </c>
      <c r="D13" s="146">
        <v>1140264032</v>
      </c>
      <c r="E13" s="146">
        <v>3205151832</v>
      </c>
      <c r="F13" s="297" t="s">
        <v>44</v>
      </c>
      <c r="G13" s="362" t="s">
        <v>45</v>
      </c>
      <c r="H13" s="362" t="s">
        <v>46</v>
      </c>
      <c r="J13" s="125" t="s">
        <v>47</v>
      </c>
      <c r="K13" s="125">
        <f t="shared" si="0"/>
        <v>5</v>
      </c>
    </row>
    <row r="14" spans="1:11">
      <c r="A14" s="146" t="s">
        <v>19</v>
      </c>
      <c r="B14" s="146">
        <v>8988026</v>
      </c>
      <c r="C14" s="147" t="s">
        <v>48</v>
      </c>
      <c r="D14" s="146">
        <v>1006371133</v>
      </c>
      <c r="E14" s="146">
        <v>3160442730</v>
      </c>
      <c r="F14" s="297" t="s">
        <v>49</v>
      </c>
      <c r="G14" s="362"/>
      <c r="H14" s="362"/>
      <c r="J14" s="125" t="s">
        <v>50</v>
      </c>
      <c r="K14" s="125">
        <f t="shared" si="0"/>
        <v>4</v>
      </c>
    </row>
    <row r="15" spans="1:11">
      <c r="A15" s="146" t="s">
        <v>19</v>
      </c>
      <c r="B15" s="146">
        <v>9010761</v>
      </c>
      <c r="C15" s="147" t="s">
        <v>51</v>
      </c>
      <c r="D15" s="146">
        <v>1112044062</v>
      </c>
      <c r="E15" s="146">
        <v>3177146311</v>
      </c>
      <c r="F15" s="297" t="s">
        <v>52</v>
      </c>
      <c r="G15" s="362"/>
      <c r="H15" s="362"/>
      <c r="J15" s="125" t="s">
        <v>53</v>
      </c>
      <c r="K15" s="125">
        <f t="shared" si="0"/>
        <v>0</v>
      </c>
    </row>
    <row r="16" spans="1:11">
      <c r="A16" s="146" t="s">
        <v>19</v>
      </c>
      <c r="B16" s="146">
        <v>9010620</v>
      </c>
      <c r="C16" s="147" t="s">
        <v>54</v>
      </c>
      <c r="D16" s="146">
        <v>1108559931</v>
      </c>
      <c r="E16" s="146">
        <v>6023874564</v>
      </c>
      <c r="F16" s="297" t="s">
        <v>55</v>
      </c>
      <c r="G16" s="362"/>
      <c r="H16" s="362"/>
      <c r="J16" s="125" t="s">
        <v>56</v>
      </c>
      <c r="K16" s="125">
        <f t="shared" si="0"/>
        <v>0</v>
      </c>
    </row>
    <row r="17" spans="1:12">
      <c r="A17" s="146" t="s">
        <v>19</v>
      </c>
      <c r="B17" s="146">
        <v>8976653</v>
      </c>
      <c r="C17" s="147" t="s">
        <v>57</v>
      </c>
      <c r="D17" s="146">
        <v>1112042883</v>
      </c>
      <c r="E17" s="146">
        <v>3162388422</v>
      </c>
      <c r="F17" s="297" t="s">
        <v>58</v>
      </c>
      <c r="G17" s="362"/>
      <c r="H17" s="362"/>
      <c r="J17" s="125" t="s">
        <v>59</v>
      </c>
      <c r="K17" s="125">
        <f>SUM(K3:K16)</f>
        <v>58</v>
      </c>
    </row>
    <row r="18" spans="1:12">
      <c r="A18" s="148" t="s">
        <v>22</v>
      </c>
      <c r="B18" s="301">
        <v>8992826</v>
      </c>
      <c r="C18" s="151" t="s">
        <v>60</v>
      </c>
      <c r="D18" s="148">
        <v>1109187241</v>
      </c>
      <c r="E18" s="148">
        <v>2623045</v>
      </c>
      <c r="F18" s="302" t="s">
        <v>61</v>
      </c>
      <c r="G18" s="358" t="s">
        <v>62</v>
      </c>
      <c r="H18" s="358" t="s">
        <v>63</v>
      </c>
    </row>
    <row r="19" spans="1:12">
      <c r="A19" s="148" t="s">
        <v>22</v>
      </c>
      <c r="B19" s="148">
        <v>8992063</v>
      </c>
      <c r="C19" s="149" t="s">
        <v>64</v>
      </c>
      <c r="D19" s="148">
        <v>1125618908</v>
      </c>
      <c r="E19" s="148">
        <v>3158321878</v>
      </c>
      <c r="F19" s="298" t="s">
        <v>65</v>
      </c>
      <c r="G19" s="358"/>
      <c r="H19" s="358"/>
      <c r="I19" s="303"/>
      <c r="J19" s="303"/>
    </row>
    <row r="20" spans="1:12">
      <c r="A20" s="291" t="s">
        <v>22</v>
      </c>
      <c r="B20" s="291">
        <v>8981249</v>
      </c>
      <c r="C20" s="292" t="s">
        <v>66</v>
      </c>
      <c r="D20" s="291">
        <v>1061697528</v>
      </c>
      <c r="E20" s="291">
        <v>3152299602</v>
      </c>
      <c r="F20" s="304" t="s">
        <v>67</v>
      </c>
      <c r="G20" s="358"/>
      <c r="H20" s="358"/>
      <c r="I20" s="303"/>
      <c r="J20" s="303"/>
    </row>
    <row r="21" spans="1:12">
      <c r="A21" s="148" t="s">
        <v>22</v>
      </c>
      <c r="B21" s="148">
        <v>9012059</v>
      </c>
      <c r="C21" s="149" t="s">
        <v>68</v>
      </c>
      <c r="D21" s="148">
        <v>1110362872</v>
      </c>
      <c r="E21" s="148">
        <v>3152450779</v>
      </c>
      <c r="F21" s="298" t="s">
        <v>69</v>
      </c>
      <c r="G21" s="358"/>
      <c r="H21" s="358"/>
      <c r="K21" s="305"/>
      <c r="L21" s="305"/>
    </row>
    <row r="22" spans="1:12">
      <c r="A22" s="148" t="s">
        <v>22</v>
      </c>
      <c r="B22" s="148">
        <v>9012258</v>
      </c>
      <c r="C22" s="152" t="s">
        <v>70</v>
      </c>
      <c r="D22" s="148">
        <v>1109921484</v>
      </c>
      <c r="E22" s="148">
        <v>3043253182</v>
      </c>
      <c r="F22" s="298" t="s">
        <v>71</v>
      </c>
      <c r="G22" s="358"/>
      <c r="H22" s="358"/>
      <c r="J22" s="125"/>
      <c r="K22" s="125"/>
      <c r="L22" s="125"/>
    </row>
    <row r="23" spans="1:12">
      <c r="A23" s="146" t="s">
        <v>25</v>
      </c>
      <c r="B23" s="146">
        <v>9012406</v>
      </c>
      <c r="C23" s="147" t="s">
        <v>72</v>
      </c>
      <c r="D23" s="146">
        <v>1143871437</v>
      </c>
      <c r="E23" s="146">
        <v>3176933402</v>
      </c>
      <c r="F23" s="297" t="s">
        <v>73</v>
      </c>
      <c r="G23" s="362" t="s">
        <v>74</v>
      </c>
      <c r="H23" s="362" t="s">
        <v>75</v>
      </c>
      <c r="J23" s="125"/>
      <c r="K23" s="125"/>
      <c r="L23" s="125"/>
    </row>
    <row r="24" spans="1:12">
      <c r="A24" s="146" t="s">
        <v>25</v>
      </c>
      <c r="B24" s="146">
        <v>9009874</v>
      </c>
      <c r="C24" s="147" t="s">
        <v>76</v>
      </c>
      <c r="D24" s="146">
        <v>1014861589</v>
      </c>
      <c r="E24" s="146">
        <v>3115086246</v>
      </c>
      <c r="F24" s="297" t="s">
        <v>77</v>
      </c>
      <c r="G24" s="362"/>
      <c r="H24" s="362"/>
      <c r="J24" s="125"/>
      <c r="K24" s="125"/>
      <c r="L24" s="125"/>
    </row>
    <row r="25" spans="1:12">
      <c r="A25" s="146" t="s">
        <v>25</v>
      </c>
      <c r="B25" s="146">
        <v>8990369</v>
      </c>
      <c r="C25" s="147" t="s">
        <v>78</v>
      </c>
      <c r="D25" s="146">
        <v>1107848976</v>
      </c>
      <c r="E25" s="146">
        <v>3153996283</v>
      </c>
      <c r="F25" s="297" t="s">
        <v>79</v>
      </c>
      <c r="G25" s="362"/>
      <c r="H25" s="362"/>
      <c r="J25" s="125"/>
      <c r="K25" s="125"/>
      <c r="L25" s="125"/>
    </row>
    <row r="26" spans="1:12">
      <c r="A26" s="291" t="s">
        <v>25</v>
      </c>
      <c r="B26" s="291">
        <v>8990332</v>
      </c>
      <c r="C26" s="292" t="s">
        <v>80</v>
      </c>
      <c r="D26" s="291">
        <v>1042581795</v>
      </c>
      <c r="E26" s="291">
        <v>3153616715</v>
      </c>
      <c r="F26" s="304" t="s">
        <v>81</v>
      </c>
      <c r="G26" s="362"/>
      <c r="H26" s="362"/>
      <c r="J26" s="125"/>
      <c r="K26" s="125"/>
      <c r="L26" s="125"/>
    </row>
    <row r="27" spans="1:12">
      <c r="A27" s="146" t="s">
        <v>25</v>
      </c>
      <c r="B27" s="146">
        <v>8975485</v>
      </c>
      <c r="C27" s="147" t="s">
        <v>82</v>
      </c>
      <c r="D27" s="146">
        <v>1013259261</v>
      </c>
      <c r="E27" s="146">
        <v>3155776289</v>
      </c>
      <c r="F27" s="297" t="s">
        <v>83</v>
      </c>
      <c r="G27" s="362"/>
      <c r="H27" s="362"/>
      <c r="J27" s="125"/>
      <c r="K27" s="125"/>
      <c r="L27" s="125"/>
    </row>
    <row r="28" spans="1:12">
      <c r="A28" s="148" t="s">
        <v>30</v>
      </c>
      <c r="B28" s="148">
        <v>8971900</v>
      </c>
      <c r="C28" s="149" t="s">
        <v>84</v>
      </c>
      <c r="D28" s="148">
        <v>1109184658</v>
      </c>
      <c r="E28" s="148">
        <v>3103723602</v>
      </c>
      <c r="F28" s="308" t="s">
        <v>85</v>
      </c>
      <c r="G28" s="358" t="s">
        <v>46</v>
      </c>
      <c r="H28" s="358" t="s">
        <v>74</v>
      </c>
      <c r="J28" s="125"/>
      <c r="K28" s="125"/>
      <c r="L28" s="125"/>
    </row>
    <row r="29" spans="1:12">
      <c r="A29" s="148" t="s">
        <v>30</v>
      </c>
      <c r="B29" s="148">
        <v>8965800</v>
      </c>
      <c r="C29" s="149" t="s">
        <v>86</v>
      </c>
      <c r="D29" s="148">
        <v>1105360500</v>
      </c>
      <c r="E29" s="148">
        <v>3122291215</v>
      </c>
      <c r="F29" s="298" t="s">
        <v>87</v>
      </c>
      <c r="G29" s="358"/>
      <c r="H29" s="358"/>
      <c r="J29" s="125"/>
      <c r="K29" s="125"/>
      <c r="L29" s="125"/>
    </row>
    <row r="30" spans="1:12">
      <c r="A30" s="148" t="s">
        <v>30</v>
      </c>
      <c r="B30" s="148">
        <v>8976774</v>
      </c>
      <c r="C30" s="149" t="s">
        <v>88</v>
      </c>
      <c r="D30" s="148">
        <v>1107037271</v>
      </c>
      <c r="E30" s="148">
        <v>3332216206</v>
      </c>
      <c r="F30" s="298" t="s">
        <v>89</v>
      </c>
      <c r="G30" s="358"/>
      <c r="H30" s="358"/>
      <c r="J30" s="125"/>
      <c r="K30" s="125"/>
      <c r="L30" s="125"/>
    </row>
    <row r="31" spans="1:12" ht="24.75" customHeight="1">
      <c r="A31" s="291" t="s">
        <v>30</v>
      </c>
      <c r="B31" s="291">
        <v>8990687</v>
      </c>
      <c r="C31" s="292" t="s">
        <v>90</v>
      </c>
      <c r="D31" s="291">
        <v>1105369474</v>
      </c>
      <c r="E31" s="291">
        <v>3108945073</v>
      </c>
      <c r="F31" s="304" t="s">
        <v>91</v>
      </c>
      <c r="G31" s="358"/>
      <c r="H31" s="358"/>
      <c r="J31" s="125"/>
      <c r="K31" s="125"/>
      <c r="L31" s="125"/>
    </row>
    <row r="32" spans="1:12">
      <c r="A32" s="148" t="s">
        <v>30</v>
      </c>
      <c r="B32" s="148">
        <v>9011531</v>
      </c>
      <c r="C32" s="149" t="s">
        <v>92</v>
      </c>
      <c r="D32" s="148">
        <v>1006109986</v>
      </c>
      <c r="E32" s="148">
        <v>3234589134</v>
      </c>
      <c r="F32" s="311" t="s">
        <v>93</v>
      </c>
      <c r="G32" s="358"/>
      <c r="H32" s="358"/>
      <c r="J32" s="125"/>
      <c r="K32" s="125"/>
      <c r="L32" s="125"/>
    </row>
    <row r="33" spans="1:12">
      <c r="A33" s="146" t="s">
        <v>33</v>
      </c>
      <c r="B33" s="146">
        <v>8986229</v>
      </c>
      <c r="C33" s="147" t="s">
        <v>94</v>
      </c>
      <c r="D33" s="146">
        <v>1029661472</v>
      </c>
      <c r="E33" s="146">
        <v>3124008941</v>
      </c>
      <c r="F33" s="297" t="s">
        <v>95</v>
      </c>
      <c r="G33" s="362" t="s">
        <v>96</v>
      </c>
      <c r="H33" s="362" t="s">
        <v>45</v>
      </c>
      <c r="J33" s="305"/>
      <c r="K33" s="305"/>
      <c r="L33" s="305"/>
    </row>
    <row r="34" spans="1:12">
      <c r="A34" s="146" t="s">
        <v>33</v>
      </c>
      <c r="B34" s="146">
        <v>9009068</v>
      </c>
      <c r="C34" s="147" t="s">
        <v>97</v>
      </c>
      <c r="D34" s="146">
        <v>1080692591</v>
      </c>
      <c r="E34" s="146">
        <v>5555029</v>
      </c>
      <c r="F34" s="297" t="s">
        <v>98</v>
      </c>
      <c r="G34" s="362"/>
      <c r="H34" s="362"/>
    </row>
    <row r="35" spans="1:12">
      <c r="A35" s="291" t="s">
        <v>33</v>
      </c>
      <c r="B35" s="291">
        <v>8988715</v>
      </c>
      <c r="C35" s="292" t="s">
        <v>99</v>
      </c>
      <c r="D35" s="291">
        <v>1107843160</v>
      </c>
      <c r="E35" s="291">
        <v>3167114242</v>
      </c>
      <c r="F35" s="304" t="s">
        <v>100</v>
      </c>
      <c r="G35" s="362"/>
      <c r="H35" s="362"/>
    </row>
    <row r="36" spans="1:12">
      <c r="A36" s="146" t="s">
        <v>33</v>
      </c>
      <c r="B36" s="146">
        <v>8992342</v>
      </c>
      <c r="C36" s="147" t="s">
        <v>101</v>
      </c>
      <c r="D36" s="146">
        <v>1143857060</v>
      </c>
      <c r="E36" s="146">
        <v>3207602858</v>
      </c>
      <c r="F36" s="297" t="s">
        <v>102</v>
      </c>
      <c r="G36" s="362"/>
      <c r="H36" s="362"/>
    </row>
    <row r="37" spans="1:12">
      <c r="A37" s="146" t="s">
        <v>33</v>
      </c>
      <c r="B37" s="146">
        <v>8967990</v>
      </c>
      <c r="C37" s="147" t="s">
        <v>103</v>
      </c>
      <c r="D37" s="146">
        <v>1105362211</v>
      </c>
      <c r="E37" s="146">
        <v>3452688</v>
      </c>
      <c r="F37" s="297" t="s">
        <v>104</v>
      </c>
      <c r="G37" s="362"/>
      <c r="H37" s="362"/>
    </row>
    <row r="38" spans="1:12">
      <c r="A38" s="148" t="s">
        <v>36</v>
      </c>
      <c r="B38" s="148">
        <v>8993446</v>
      </c>
      <c r="C38" s="149" t="s">
        <v>105</v>
      </c>
      <c r="D38" s="148">
        <v>1104938194</v>
      </c>
      <c r="E38" s="148">
        <v>3158287394</v>
      </c>
      <c r="F38" s="298" t="s">
        <v>106</v>
      </c>
      <c r="G38" s="358" t="s">
        <v>63</v>
      </c>
      <c r="H38" s="358" t="s">
        <v>62</v>
      </c>
    </row>
    <row r="39" spans="1:12">
      <c r="A39" s="148" t="s">
        <v>36</v>
      </c>
      <c r="B39" s="148">
        <v>9010165</v>
      </c>
      <c r="C39" s="149" t="s">
        <v>107</v>
      </c>
      <c r="D39" s="148">
        <v>1059238118</v>
      </c>
      <c r="E39" s="148">
        <v>3225412786</v>
      </c>
      <c r="F39" s="298" t="s">
        <v>108</v>
      </c>
      <c r="G39" s="358"/>
      <c r="H39" s="358"/>
    </row>
    <row r="40" spans="1:12">
      <c r="A40" s="291" t="s">
        <v>36</v>
      </c>
      <c r="B40" s="291">
        <v>8993082</v>
      </c>
      <c r="C40" s="292" t="s">
        <v>109</v>
      </c>
      <c r="D40" s="291">
        <v>1117015723</v>
      </c>
      <c r="E40" s="291">
        <v>3104548232</v>
      </c>
      <c r="F40" s="317" t="s">
        <v>110</v>
      </c>
      <c r="G40" s="358"/>
      <c r="H40" s="358"/>
      <c r="J40" s="296" t="s">
        <v>111</v>
      </c>
    </row>
    <row r="41" spans="1:12">
      <c r="A41" s="148" t="s">
        <v>36</v>
      </c>
      <c r="B41" s="148">
        <v>8992859</v>
      </c>
      <c r="C41" s="149" t="s">
        <v>112</v>
      </c>
      <c r="D41" s="148">
        <v>1120067630</v>
      </c>
      <c r="E41" s="148">
        <v>4205339</v>
      </c>
      <c r="F41" s="298" t="s">
        <v>113</v>
      </c>
      <c r="G41" s="358"/>
      <c r="H41" s="358"/>
    </row>
    <row r="42" spans="1:12">
      <c r="A42" s="148" t="s">
        <v>36</v>
      </c>
      <c r="B42" s="148">
        <v>8973697</v>
      </c>
      <c r="C42" s="149" t="s">
        <v>114</v>
      </c>
      <c r="D42" s="148">
        <v>1109116009</v>
      </c>
      <c r="E42" s="148">
        <v>3128506079</v>
      </c>
      <c r="F42" s="298" t="s">
        <v>115</v>
      </c>
      <c r="G42" s="358"/>
      <c r="H42" s="358"/>
    </row>
    <row r="43" spans="1:12">
      <c r="A43" s="146" t="s">
        <v>39</v>
      </c>
      <c r="B43" s="146">
        <v>9010263</v>
      </c>
      <c r="C43" s="147" t="s">
        <v>116</v>
      </c>
      <c r="D43" s="146">
        <v>1085906433</v>
      </c>
      <c r="E43" s="146">
        <v>3152033731</v>
      </c>
      <c r="F43" s="297" t="s">
        <v>117</v>
      </c>
      <c r="G43" s="362" t="s">
        <v>75</v>
      </c>
      <c r="H43" s="362" t="s">
        <v>118</v>
      </c>
    </row>
    <row r="44" spans="1:12">
      <c r="A44" s="146" t="s">
        <v>39</v>
      </c>
      <c r="B44" s="146">
        <v>9010606</v>
      </c>
      <c r="C44" s="147" t="s">
        <v>119</v>
      </c>
      <c r="D44" s="146">
        <v>1105362254</v>
      </c>
      <c r="E44" s="146">
        <v>3257343</v>
      </c>
      <c r="F44" s="297" t="s">
        <v>120</v>
      </c>
      <c r="G44" s="362"/>
      <c r="H44" s="362"/>
    </row>
    <row r="45" spans="1:12" ht="45.75" customHeight="1">
      <c r="A45" s="291" t="s">
        <v>39</v>
      </c>
      <c r="B45" s="291">
        <v>8967605</v>
      </c>
      <c r="C45" s="292" t="s">
        <v>121</v>
      </c>
      <c r="D45" s="291">
        <v>1058932277</v>
      </c>
      <c r="E45" s="291">
        <v>3016766466</v>
      </c>
      <c r="F45" s="304" t="s">
        <v>122</v>
      </c>
      <c r="G45" s="362"/>
      <c r="H45" s="362"/>
    </row>
    <row r="46" spans="1:12">
      <c r="A46" s="146" t="s">
        <v>39</v>
      </c>
      <c r="B46" s="146">
        <v>8992547</v>
      </c>
      <c r="C46" s="147" t="s">
        <v>123</v>
      </c>
      <c r="D46" s="146">
        <v>1112043381</v>
      </c>
      <c r="E46" s="146">
        <v>5932036</v>
      </c>
      <c r="F46" s="297" t="s">
        <v>124</v>
      </c>
      <c r="G46" s="362"/>
      <c r="H46" s="362"/>
    </row>
    <row r="47" spans="1:12">
      <c r="A47" s="146" t="s">
        <v>39</v>
      </c>
      <c r="B47" s="146">
        <v>9009114</v>
      </c>
      <c r="C47" s="147" t="s">
        <v>125</v>
      </c>
      <c r="D47" s="146">
        <v>1109921245</v>
      </c>
      <c r="E47" s="146">
        <v>3023069594</v>
      </c>
      <c r="F47" s="297" t="s">
        <v>126</v>
      </c>
      <c r="G47" s="362"/>
      <c r="H47" s="362"/>
    </row>
    <row r="48" spans="1:12">
      <c r="A48" s="148" t="s">
        <v>42</v>
      </c>
      <c r="B48" s="148">
        <v>9010100</v>
      </c>
      <c r="C48" s="149" t="s">
        <v>127</v>
      </c>
      <c r="D48" s="148">
        <v>1061707947</v>
      </c>
      <c r="E48" s="148">
        <v>3206314300</v>
      </c>
      <c r="F48" s="298" t="s">
        <v>128</v>
      </c>
      <c r="G48" s="358" t="s">
        <v>129</v>
      </c>
      <c r="H48" s="358" t="s">
        <v>130</v>
      </c>
    </row>
    <row r="49" spans="1:8">
      <c r="A49" s="148" t="s">
        <v>42</v>
      </c>
      <c r="B49" s="148">
        <v>8988658</v>
      </c>
      <c r="C49" s="149" t="s">
        <v>131</v>
      </c>
      <c r="D49" s="148">
        <v>1058548101</v>
      </c>
      <c r="E49" s="148">
        <v>3959371</v>
      </c>
      <c r="F49" s="298" t="s">
        <v>132</v>
      </c>
      <c r="G49" s="358"/>
      <c r="H49" s="358"/>
    </row>
    <row r="50" spans="1:8">
      <c r="A50" s="148" t="s">
        <v>42</v>
      </c>
      <c r="B50" s="148">
        <v>8983642</v>
      </c>
      <c r="C50" s="149" t="s">
        <v>133</v>
      </c>
      <c r="D50" s="148">
        <v>1013037092</v>
      </c>
      <c r="E50" s="148">
        <v>3235806383</v>
      </c>
      <c r="F50" s="298" t="s">
        <v>134</v>
      </c>
      <c r="G50" s="358"/>
      <c r="H50" s="358"/>
    </row>
    <row r="51" spans="1:8">
      <c r="A51" s="148" t="s">
        <v>42</v>
      </c>
      <c r="B51" s="148">
        <v>8990268</v>
      </c>
      <c r="C51" s="149" t="s">
        <v>135</v>
      </c>
      <c r="D51" s="148">
        <v>1059236036</v>
      </c>
      <c r="E51" s="148">
        <v>3008680857</v>
      </c>
      <c r="F51" s="298" t="s">
        <v>136</v>
      </c>
      <c r="G51" s="358"/>
      <c r="H51" s="358"/>
    </row>
    <row r="52" spans="1:8" ht="15" customHeight="1">
      <c r="A52" s="146" t="s">
        <v>47</v>
      </c>
      <c r="B52" s="146">
        <v>8989342</v>
      </c>
      <c r="C52" s="147" t="s">
        <v>137</v>
      </c>
      <c r="D52" s="146">
        <v>1105461712</v>
      </c>
      <c r="E52" s="146">
        <v>3182708448</v>
      </c>
      <c r="F52" s="146" t="s">
        <v>138</v>
      </c>
      <c r="G52" s="359" t="s">
        <v>118</v>
      </c>
      <c r="H52" s="359" t="s">
        <v>129</v>
      </c>
    </row>
    <row r="53" spans="1:8">
      <c r="A53" s="146" t="s">
        <v>47</v>
      </c>
      <c r="B53" s="146">
        <v>9010899</v>
      </c>
      <c r="C53" s="147" t="s">
        <v>139</v>
      </c>
      <c r="D53" s="146">
        <v>1110364132</v>
      </c>
      <c r="E53" s="146">
        <v>3138469597</v>
      </c>
      <c r="F53" s="146" t="s">
        <v>140</v>
      </c>
      <c r="G53" s="360"/>
      <c r="H53" s="360"/>
    </row>
    <row r="54" spans="1:8">
      <c r="A54" s="146" t="s">
        <v>47</v>
      </c>
      <c r="B54" s="146">
        <v>8981659</v>
      </c>
      <c r="C54" s="147" t="s">
        <v>141</v>
      </c>
      <c r="D54" s="146">
        <v>1105360384</v>
      </c>
      <c r="E54" s="146">
        <v>3137535434</v>
      </c>
      <c r="F54" s="146" t="s">
        <v>142</v>
      </c>
      <c r="G54" s="360"/>
      <c r="H54" s="360"/>
    </row>
    <row r="55" spans="1:8">
      <c r="A55" s="146" t="s">
        <v>47</v>
      </c>
      <c r="B55" s="146">
        <v>8987713</v>
      </c>
      <c r="C55" s="147" t="s">
        <v>143</v>
      </c>
      <c r="D55" s="146">
        <v>1105367897</v>
      </c>
      <c r="E55" s="146">
        <v>4001215</v>
      </c>
      <c r="F55" s="146" t="s">
        <v>144</v>
      </c>
      <c r="G55" s="360"/>
      <c r="H55" s="360"/>
    </row>
    <row r="56" spans="1:8">
      <c r="A56" s="291" t="s">
        <v>47</v>
      </c>
      <c r="B56" s="291">
        <v>8966690</v>
      </c>
      <c r="C56" s="314" t="s">
        <v>145</v>
      </c>
      <c r="D56" s="291">
        <v>1081281937</v>
      </c>
      <c r="E56" s="291">
        <v>3188720318</v>
      </c>
      <c r="F56" s="291" t="s">
        <v>146</v>
      </c>
      <c r="G56" s="361"/>
      <c r="H56" s="361"/>
    </row>
    <row r="57" spans="1:8">
      <c r="A57" s="148" t="s">
        <v>50</v>
      </c>
      <c r="B57" s="148">
        <v>9011438</v>
      </c>
      <c r="C57" s="149" t="s">
        <v>147</v>
      </c>
      <c r="D57" s="148">
        <v>1117019020</v>
      </c>
      <c r="E57" s="148">
        <v>3242135583</v>
      </c>
      <c r="F57" s="148" t="s">
        <v>148</v>
      </c>
      <c r="G57" s="358" t="s">
        <v>130</v>
      </c>
      <c r="H57" s="358" t="s">
        <v>28</v>
      </c>
    </row>
    <row r="58" spans="1:8">
      <c r="A58" s="148" t="s">
        <v>50</v>
      </c>
      <c r="B58" s="148">
        <v>8984006</v>
      </c>
      <c r="C58" s="149" t="s">
        <v>149</v>
      </c>
      <c r="D58" s="148">
        <v>1127228453</v>
      </c>
      <c r="E58" s="148">
        <v>5556738</v>
      </c>
      <c r="F58" s="313" t="s">
        <v>150</v>
      </c>
      <c r="G58" s="358"/>
      <c r="H58" s="358"/>
    </row>
    <row r="59" spans="1:8">
      <c r="A59" s="315" t="s">
        <v>50</v>
      </c>
      <c r="B59" s="315">
        <v>8983080</v>
      </c>
      <c r="C59" s="316" t="s">
        <v>151</v>
      </c>
      <c r="D59" s="148">
        <v>1005978131</v>
      </c>
      <c r="E59" s="148">
        <v>3176808285</v>
      </c>
      <c r="F59" s="148" t="s">
        <v>152</v>
      </c>
      <c r="G59" s="358"/>
      <c r="H59" s="358"/>
    </row>
    <row r="60" spans="1:8">
      <c r="A60" s="148" t="s">
        <v>50</v>
      </c>
      <c r="B60" s="148">
        <v>8978977</v>
      </c>
      <c r="C60" s="149" t="s">
        <v>153</v>
      </c>
      <c r="D60" s="148">
        <v>1043665394</v>
      </c>
      <c r="E60" s="148">
        <v>3445958</v>
      </c>
      <c r="F60" s="148" t="s">
        <v>154</v>
      </c>
      <c r="G60" s="358"/>
      <c r="H60" s="358"/>
    </row>
    <row r="61" spans="1:8">
      <c r="B61" s="306"/>
      <c r="F61" s="312"/>
    </row>
    <row r="62" spans="1:8">
      <c r="B62" s="306"/>
    </row>
    <row r="63" spans="1:8">
      <c r="B63" s="306"/>
    </row>
    <row r="64" spans="1:8">
      <c r="B64" s="306"/>
    </row>
    <row r="65" spans="2:2">
      <c r="B65" s="306"/>
    </row>
    <row r="66" spans="2:2">
      <c r="B66" s="306"/>
    </row>
    <row r="67" spans="2:2">
      <c r="B67" s="306"/>
    </row>
    <row r="68" spans="2:2">
      <c r="B68" s="306"/>
    </row>
    <row r="69" spans="2:2">
      <c r="B69" s="306"/>
    </row>
    <row r="70" spans="2:2">
      <c r="B70" s="306"/>
    </row>
    <row r="71" spans="2:2">
      <c r="B71" s="306"/>
    </row>
    <row r="72" spans="2:2">
      <c r="B72" s="306"/>
    </row>
    <row r="73" spans="2:2">
      <c r="B73" s="306"/>
    </row>
    <row r="74" spans="2:2">
      <c r="B74" s="306"/>
    </row>
    <row r="75" spans="2:2">
      <c r="B75" s="306"/>
    </row>
    <row r="76" spans="2:2">
      <c r="B76" s="306"/>
    </row>
    <row r="77" spans="2:2">
      <c r="B77" s="306"/>
    </row>
    <row r="78" spans="2:2">
      <c r="B78" s="306"/>
    </row>
    <row r="79" spans="2:2">
      <c r="B79" s="306"/>
    </row>
    <row r="80" spans="2:2">
      <c r="B80" s="306"/>
    </row>
    <row r="81" spans="2:2">
      <c r="B81" s="306"/>
    </row>
    <row r="82" spans="2:2">
      <c r="B82" s="306"/>
    </row>
    <row r="83" spans="2:2">
      <c r="B83" s="306"/>
    </row>
    <row r="84" spans="2:2">
      <c r="B84" s="306"/>
    </row>
    <row r="85" spans="2:2">
      <c r="B85" s="306"/>
    </row>
    <row r="86" spans="2:2">
      <c r="B86" s="306"/>
    </row>
    <row r="87" spans="2:2">
      <c r="B87" s="306"/>
    </row>
    <row r="88" spans="2:2">
      <c r="B88" s="306"/>
    </row>
    <row r="89" spans="2:2">
      <c r="B89" s="306"/>
    </row>
    <row r="90" spans="2:2">
      <c r="B90" s="306"/>
    </row>
    <row r="91" spans="2:2">
      <c r="B91" s="306"/>
    </row>
    <row r="92" spans="2:2">
      <c r="B92" s="306"/>
    </row>
    <row r="93" spans="2:2">
      <c r="B93" s="306"/>
    </row>
    <row r="94" spans="2:2">
      <c r="B94" s="306"/>
    </row>
    <row r="95" spans="2:2">
      <c r="B95" s="306"/>
    </row>
    <row r="96" spans="2:2">
      <c r="B96" s="306"/>
    </row>
    <row r="97" spans="2:2">
      <c r="B97" s="306"/>
    </row>
    <row r="98" spans="2:2">
      <c r="B98" s="306"/>
    </row>
    <row r="99" spans="2:2">
      <c r="B99" s="306"/>
    </row>
    <row r="100" spans="2:2">
      <c r="B100" s="306"/>
    </row>
    <row r="101" spans="2:2">
      <c r="B101" s="306"/>
    </row>
    <row r="102" spans="2:2">
      <c r="B102" s="306"/>
    </row>
    <row r="103" spans="2:2">
      <c r="B103" s="306"/>
    </row>
    <row r="104" spans="2:2">
      <c r="B104" s="306"/>
    </row>
    <row r="105" spans="2:2">
      <c r="B105" s="306"/>
    </row>
    <row r="106" spans="2:2">
      <c r="B106" s="306"/>
    </row>
    <row r="107" spans="2:2">
      <c r="B107" s="306"/>
    </row>
    <row r="108" spans="2:2">
      <c r="B108" s="306"/>
    </row>
    <row r="109" spans="2:2">
      <c r="B109" s="306"/>
    </row>
    <row r="110" spans="2:2">
      <c r="B110" s="306"/>
    </row>
    <row r="111" spans="2:2">
      <c r="B111" s="306"/>
    </row>
    <row r="112" spans="2:2">
      <c r="B112" s="306"/>
    </row>
    <row r="113" spans="2:2">
      <c r="B113" s="306"/>
    </row>
    <row r="114" spans="2:2">
      <c r="B114" s="306"/>
    </row>
    <row r="115" spans="2:2">
      <c r="B115" s="306"/>
    </row>
    <row r="116" spans="2:2">
      <c r="B116" s="306"/>
    </row>
    <row r="117" spans="2:2">
      <c r="B117" s="306"/>
    </row>
    <row r="118" spans="2:2">
      <c r="B118" s="306"/>
    </row>
    <row r="119" spans="2:2">
      <c r="B119" s="306"/>
    </row>
    <row r="120" spans="2:2">
      <c r="B120" s="306"/>
    </row>
    <row r="121" spans="2:2">
      <c r="B121" s="306"/>
    </row>
    <row r="122" spans="2:2">
      <c r="B122" s="306"/>
    </row>
    <row r="123" spans="2:2">
      <c r="B123" s="306"/>
    </row>
    <row r="124" spans="2:2">
      <c r="B124" s="306"/>
    </row>
    <row r="125" spans="2:2">
      <c r="B125" s="306"/>
    </row>
    <row r="126" spans="2:2">
      <c r="B126" s="306"/>
    </row>
    <row r="127" spans="2:2">
      <c r="B127" s="306"/>
    </row>
    <row r="128" spans="2:2">
      <c r="B128" s="306"/>
    </row>
    <row r="129" spans="2:2">
      <c r="B129" s="306"/>
    </row>
    <row r="130" spans="2:2">
      <c r="B130" s="306"/>
    </row>
    <row r="131" spans="2:2">
      <c r="B131" s="306"/>
    </row>
    <row r="132" spans="2:2">
      <c r="B132" s="306"/>
    </row>
    <row r="133" spans="2:2">
      <c r="B133" s="306"/>
    </row>
    <row r="134" spans="2:2">
      <c r="B134" s="306"/>
    </row>
    <row r="135" spans="2:2">
      <c r="B135" s="306"/>
    </row>
    <row r="136" spans="2:2">
      <c r="B136" s="306"/>
    </row>
    <row r="137" spans="2:2">
      <c r="B137" s="306"/>
    </row>
    <row r="138" spans="2:2">
      <c r="B138" s="306"/>
    </row>
    <row r="139" spans="2:2">
      <c r="B139" s="306"/>
    </row>
    <row r="140" spans="2:2">
      <c r="B140" s="306"/>
    </row>
    <row r="141" spans="2:2">
      <c r="B141" s="306"/>
    </row>
    <row r="142" spans="2:2">
      <c r="B142" s="306"/>
    </row>
    <row r="143" spans="2:2">
      <c r="B143" s="306"/>
    </row>
    <row r="144" spans="2:2">
      <c r="B144" s="306"/>
    </row>
    <row r="145" spans="2:2">
      <c r="B145" s="306"/>
    </row>
    <row r="146" spans="2:2">
      <c r="B146" s="306"/>
    </row>
    <row r="147" spans="2:2">
      <c r="B147" s="306"/>
    </row>
    <row r="148" spans="2:2">
      <c r="B148" s="306"/>
    </row>
    <row r="149" spans="2:2">
      <c r="B149" s="306"/>
    </row>
    <row r="150" spans="2:2">
      <c r="B150" s="306"/>
    </row>
    <row r="151" spans="2:2">
      <c r="B151" s="306"/>
    </row>
    <row r="152" spans="2:2">
      <c r="B152" s="306"/>
    </row>
    <row r="153" spans="2:2">
      <c r="B153" s="306"/>
    </row>
    <row r="154" spans="2:2">
      <c r="B154" s="306"/>
    </row>
    <row r="155" spans="2:2">
      <c r="B155" s="306"/>
    </row>
    <row r="156" spans="2:2">
      <c r="B156" s="306"/>
    </row>
    <row r="157" spans="2:2">
      <c r="B157" s="306"/>
    </row>
    <row r="158" spans="2:2">
      <c r="B158" s="306"/>
    </row>
    <row r="159" spans="2:2">
      <c r="B159" s="306"/>
    </row>
    <row r="160" spans="2:2">
      <c r="B160" s="306"/>
    </row>
    <row r="161" spans="2:2">
      <c r="B161" s="306"/>
    </row>
    <row r="162" spans="2:2">
      <c r="B162" s="306"/>
    </row>
    <row r="163" spans="2:2">
      <c r="B163" s="306"/>
    </row>
    <row r="164" spans="2:2">
      <c r="B164" s="306"/>
    </row>
    <row r="165" spans="2:2">
      <c r="B165" s="306"/>
    </row>
    <row r="166" spans="2:2">
      <c r="B166" s="306"/>
    </row>
    <row r="167" spans="2:2">
      <c r="B167" s="306"/>
    </row>
    <row r="168" spans="2:2">
      <c r="B168" s="306"/>
    </row>
    <row r="169" spans="2:2">
      <c r="B169" s="306"/>
    </row>
    <row r="170" spans="2:2">
      <c r="B170" s="306"/>
    </row>
    <row r="171" spans="2:2">
      <c r="B171" s="306"/>
    </row>
    <row r="172" spans="2:2">
      <c r="B172" s="306"/>
    </row>
    <row r="173" spans="2:2">
      <c r="B173" s="306"/>
    </row>
    <row r="174" spans="2:2">
      <c r="B174" s="306"/>
    </row>
    <row r="175" spans="2:2">
      <c r="B175" s="306"/>
    </row>
    <row r="176" spans="2:2">
      <c r="B176" s="306"/>
    </row>
    <row r="177" spans="2:2">
      <c r="B177" s="306"/>
    </row>
    <row r="178" spans="2:2">
      <c r="B178" s="306"/>
    </row>
    <row r="179" spans="2:2">
      <c r="B179" s="306"/>
    </row>
    <row r="180" spans="2:2">
      <c r="B180" s="306"/>
    </row>
    <row r="181" spans="2:2">
      <c r="B181" s="306"/>
    </row>
    <row r="182" spans="2:2">
      <c r="B182" s="306"/>
    </row>
    <row r="183" spans="2:2">
      <c r="B183" s="306"/>
    </row>
    <row r="184" spans="2:2">
      <c r="B184" s="306"/>
    </row>
    <row r="185" spans="2:2">
      <c r="B185" s="306"/>
    </row>
    <row r="186" spans="2:2">
      <c r="B186" s="306"/>
    </row>
    <row r="187" spans="2:2">
      <c r="B187" s="306"/>
    </row>
    <row r="188" spans="2:2">
      <c r="B188" s="306"/>
    </row>
    <row r="189" spans="2:2">
      <c r="B189" s="306"/>
    </row>
    <row r="190" spans="2:2">
      <c r="B190" s="306"/>
    </row>
    <row r="191" spans="2:2">
      <c r="B191" s="306"/>
    </row>
    <row r="192" spans="2:2">
      <c r="B192" s="306"/>
    </row>
    <row r="193" spans="2:2">
      <c r="B193" s="306"/>
    </row>
    <row r="194" spans="2:2">
      <c r="B194" s="306"/>
    </row>
    <row r="195" spans="2:2">
      <c r="B195" s="306"/>
    </row>
    <row r="196" spans="2:2">
      <c r="B196" s="306"/>
    </row>
    <row r="197" spans="2:2">
      <c r="B197" s="306"/>
    </row>
    <row r="198" spans="2:2">
      <c r="B198" s="306"/>
    </row>
    <row r="199" spans="2:2">
      <c r="B199" s="306"/>
    </row>
    <row r="200" spans="2:2">
      <c r="B200" s="306"/>
    </row>
    <row r="201" spans="2:2">
      <c r="B201" s="306"/>
    </row>
    <row r="202" spans="2:2">
      <c r="B202" s="306"/>
    </row>
    <row r="203" spans="2:2">
      <c r="B203" s="306"/>
    </row>
    <row r="204" spans="2:2">
      <c r="B204" s="306"/>
    </row>
    <row r="205" spans="2:2">
      <c r="B205" s="306"/>
    </row>
    <row r="206" spans="2:2">
      <c r="B206" s="306"/>
    </row>
    <row r="207" spans="2:2">
      <c r="B207" s="306"/>
    </row>
    <row r="208" spans="2:2">
      <c r="B208" s="306"/>
    </row>
    <row r="209" spans="2:2">
      <c r="B209" s="306"/>
    </row>
    <row r="210" spans="2:2">
      <c r="B210" s="306"/>
    </row>
    <row r="211" spans="2:2">
      <c r="B211" s="306"/>
    </row>
    <row r="212" spans="2:2">
      <c r="B212" s="306"/>
    </row>
    <row r="213" spans="2:2">
      <c r="B213" s="306"/>
    </row>
    <row r="214" spans="2:2">
      <c r="B214" s="306"/>
    </row>
    <row r="215" spans="2:2">
      <c r="B215" s="306"/>
    </row>
    <row r="216" spans="2:2">
      <c r="B216" s="306"/>
    </row>
    <row r="217" spans="2:2">
      <c r="B217" s="306"/>
    </row>
    <row r="218" spans="2:2">
      <c r="B218" s="306"/>
    </row>
    <row r="219" spans="2:2">
      <c r="B219" s="306"/>
    </row>
    <row r="220" spans="2:2">
      <c r="B220" s="306"/>
    </row>
    <row r="221" spans="2:2">
      <c r="B221" s="306"/>
    </row>
    <row r="222" spans="2:2">
      <c r="B222" s="306"/>
    </row>
    <row r="223" spans="2:2">
      <c r="B223" s="306"/>
    </row>
    <row r="224" spans="2:2">
      <c r="B224" s="306"/>
    </row>
    <row r="225" spans="2:2">
      <c r="B225" s="306"/>
    </row>
    <row r="226" spans="2:2">
      <c r="B226" s="306"/>
    </row>
    <row r="227" spans="2:2">
      <c r="B227" s="306"/>
    </row>
    <row r="228" spans="2:2">
      <c r="B228" s="306"/>
    </row>
    <row r="229" spans="2:2">
      <c r="B229" s="306"/>
    </row>
    <row r="230" spans="2:2">
      <c r="B230" s="306"/>
    </row>
    <row r="231" spans="2:2">
      <c r="B231" s="306"/>
    </row>
    <row r="232" spans="2:2">
      <c r="B232" s="306"/>
    </row>
    <row r="233" spans="2:2">
      <c r="B233" s="306"/>
    </row>
    <row r="234" spans="2:2">
      <c r="B234" s="306"/>
    </row>
    <row r="235" spans="2:2">
      <c r="B235" s="306"/>
    </row>
    <row r="236" spans="2:2">
      <c r="B236" s="306"/>
    </row>
    <row r="237" spans="2:2">
      <c r="B237" s="306"/>
    </row>
    <row r="238" spans="2:2">
      <c r="B238" s="306"/>
    </row>
    <row r="239" spans="2:2">
      <c r="B239" s="306"/>
    </row>
    <row r="240" spans="2:2">
      <c r="B240" s="306"/>
    </row>
    <row r="241" spans="2:2">
      <c r="B241" s="306"/>
    </row>
    <row r="242" spans="2:2">
      <c r="B242" s="306"/>
    </row>
    <row r="243" spans="2:2">
      <c r="B243" s="306"/>
    </row>
    <row r="244" spans="2:2">
      <c r="B244" s="306"/>
    </row>
    <row r="245" spans="2:2">
      <c r="B245" s="306"/>
    </row>
    <row r="246" spans="2:2">
      <c r="B246" s="306"/>
    </row>
    <row r="247" spans="2:2">
      <c r="B247" s="306"/>
    </row>
    <row r="248" spans="2:2">
      <c r="B248" s="306"/>
    </row>
    <row r="249" spans="2:2">
      <c r="B249" s="306"/>
    </row>
    <row r="250" spans="2:2">
      <c r="B250" s="306"/>
    </row>
    <row r="251" spans="2:2">
      <c r="B251" s="306"/>
    </row>
    <row r="252" spans="2:2">
      <c r="B252" s="306"/>
    </row>
    <row r="253" spans="2:2">
      <c r="B253" s="306"/>
    </row>
    <row r="254" spans="2:2">
      <c r="B254" s="306"/>
    </row>
    <row r="255" spans="2:2">
      <c r="B255" s="306"/>
    </row>
    <row r="256" spans="2:2">
      <c r="B256" s="306"/>
    </row>
    <row r="257" spans="2:2">
      <c r="B257" s="306"/>
    </row>
    <row r="258" spans="2:2">
      <c r="B258" s="306"/>
    </row>
    <row r="259" spans="2:2">
      <c r="B259" s="306"/>
    </row>
    <row r="260" spans="2:2">
      <c r="B260" s="306"/>
    </row>
    <row r="261" spans="2:2">
      <c r="B261" s="306"/>
    </row>
    <row r="262" spans="2:2">
      <c r="B262" s="306"/>
    </row>
    <row r="263" spans="2:2">
      <c r="B263" s="306"/>
    </row>
    <row r="264" spans="2:2">
      <c r="B264" s="306"/>
    </row>
    <row r="265" spans="2:2">
      <c r="B265" s="306"/>
    </row>
    <row r="266" spans="2:2">
      <c r="B266" s="306"/>
    </row>
    <row r="267" spans="2:2">
      <c r="B267" s="306"/>
    </row>
    <row r="268" spans="2:2">
      <c r="B268" s="306"/>
    </row>
    <row r="269" spans="2:2">
      <c r="B269" s="306"/>
    </row>
    <row r="270" spans="2:2">
      <c r="B270" s="306"/>
    </row>
    <row r="271" spans="2:2">
      <c r="B271" s="306"/>
    </row>
    <row r="272" spans="2:2">
      <c r="B272" s="306"/>
    </row>
    <row r="273" spans="2:2">
      <c r="B273" s="306"/>
    </row>
    <row r="274" spans="2:2">
      <c r="B274" s="306"/>
    </row>
    <row r="275" spans="2:2">
      <c r="B275" s="306"/>
    </row>
    <row r="276" spans="2:2">
      <c r="B276" s="306"/>
    </row>
    <row r="277" spans="2:2">
      <c r="B277" s="306"/>
    </row>
    <row r="278" spans="2:2">
      <c r="B278" s="306"/>
    </row>
    <row r="279" spans="2:2">
      <c r="B279" s="306"/>
    </row>
    <row r="280" spans="2:2">
      <c r="B280" s="306"/>
    </row>
    <row r="281" spans="2:2">
      <c r="B281" s="306"/>
    </row>
    <row r="282" spans="2:2">
      <c r="B282" s="306"/>
    </row>
    <row r="283" spans="2:2">
      <c r="B283" s="306"/>
    </row>
    <row r="284" spans="2:2">
      <c r="B284" s="306"/>
    </row>
    <row r="285" spans="2:2">
      <c r="B285" s="306"/>
    </row>
    <row r="286" spans="2:2">
      <c r="B286" s="306"/>
    </row>
    <row r="287" spans="2:2">
      <c r="B287" s="306"/>
    </row>
    <row r="288" spans="2:2">
      <c r="B288" s="306"/>
    </row>
    <row r="289" spans="2:2">
      <c r="B289" s="306"/>
    </row>
    <row r="290" spans="2:2">
      <c r="B290" s="306"/>
    </row>
    <row r="291" spans="2:2">
      <c r="B291" s="306"/>
    </row>
    <row r="292" spans="2:2">
      <c r="B292" s="306"/>
    </row>
    <row r="293" spans="2:2">
      <c r="B293" s="306"/>
    </row>
    <row r="294" spans="2:2">
      <c r="B294" s="306"/>
    </row>
    <row r="295" spans="2:2">
      <c r="B295" s="306"/>
    </row>
    <row r="296" spans="2:2">
      <c r="B296" s="306"/>
    </row>
    <row r="297" spans="2:2">
      <c r="B297" s="306"/>
    </row>
    <row r="298" spans="2:2">
      <c r="B298" s="306"/>
    </row>
    <row r="299" spans="2:2">
      <c r="B299" s="306"/>
    </row>
    <row r="300" spans="2:2">
      <c r="B300" s="306"/>
    </row>
    <row r="301" spans="2:2">
      <c r="B301" s="306"/>
    </row>
    <row r="302" spans="2:2">
      <c r="B302" s="306"/>
    </row>
    <row r="303" spans="2:2">
      <c r="B303" s="306"/>
    </row>
    <row r="304" spans="2:2">
      <c r="B304" s="306"/>
    </row>
    <row r="305" spans="2:2">
      <c r="B305" s="306"/>
    </row>
    <row r="306" spans="2:2">
      <c r="B306" s="306"/>
    </row>
    <row r="307" spans="2:2">
      <c r="B307" s="306"/>
    </row>
    <row r="308" spans="2:2">
      <c r="B308" s="306"/>
    </row>
    <row r="309" spans="2:2">
      <c r="B309" s="306"/>
    </row>
    <row r="310" spans="2:2">
      <c r="B310" s="306"/>
    </row>
    <row r="311" spans="2:2">
      <c r="B311" s="306"/>
    </row>
    <row r="312" spans="2:2">
      <c r="B312" s="306"/>
    </row>
    <row r="313" spans="2:2">
      <c r="B313" s="306"/>
    </row>
    <row r="314" spans="2:2">
      <c r="B314" s="306"/>
    </row>
    <row r="315" spans="2:2">
      <c r="B315" s="306"/>
    </row>
    <row r="316" spans="2:2">
      <c r="B316" s="306"/>
    </row>
    <row r="317" spans="2:2">
      <c r="B317" s="306"/>
    </row>
    <row r="318" spans="2:2">
      <c r="B318" s="306"/>
    </row>
    <row r="319" spans="2:2">
      <c r="B319" s="306"/>
    </row>
    <row r="320" spans="2:2">
      <c r="B320" s="306"/>
    </row>
    <row r="321" spans="2:2">
      <c r="B321" s="306"/>
    </row>
    <row r="322" spans="2:2">
      <c r="B322" s="306"/>
    </row>
    <row r="323" spans="2:2">
      <c r="B323" s="306"/>
    </row>
    <row r="324" spans="2:2">
      <c r="B324" s="306"/>
    </row>
    <row r="325" spans="2:2">
      <c r="B325" s="306"/>
    </row>
    <row r="326" spans="2:2">
      <c r="B326" s="306"/>
    </row>
    <row r="327" spans="2:2">
      <c r="B327" s="306"/>
    </row>
    <row r="328" spans="2:2">
      <c r="B328" s="306"/>
    </row>
    <row r="329" spans="2:2">
      <c r="B329" s="306"/>
    </row>
    <row r="330" spans="2:2">
      <c r="B330" s="306"/>
    </row>
    <row r="331" spans="2:2">
      <c r="B331" s="306"/>
    </row>
    <row r="332" spans="2:2">
      <c r="B332" s="306"/>
    </row>
    <row r="333" spans="2:2">
      <c r="B333" s="306"/>
    </row>
    <row r="334" spans="2:2">
      <c r="B334" s="306"/>
    </row>
    <row r="335" spans="2:2">
      <c r="B335" s="306"/>
    </row>
    <row r="336" spans="2:2">
      <c r="B336" s="306"/>
    </row>
    <row r="337" spans="2:2">
      <c r="B337" s="306"/>
    </row>
    <row r="338" spans="2:2">
      <c r="B338" s="306"/>
    </row>
    <row r="339" spans="2:2">
      <c r="B339" s="306"/>
    </row>
    <row r="340" spans="2:2">
      <c r="B340" s="306"/>
    </row>
    <row r="341" spans="2:2">
      <c r="B341" s="306"/>
    </row>
    <row r="342" spans="2:2">
      <c r="B342" s="306"/>
    </row>
    <row r="343" spans="2:2">
      <c r="B343" s="306"/>
    </row>
    <row r="344" spans="2:2">
      <c r="B344" s="306"/>
    </row>
    <row r="345" spans="2:2">
      <c r="B345" s="306"/>
    </row>
    <row r="346" spans="2:2">
      <c r="B346" s="306"/>
    </row>
    <row r="347" spans="2:2">
      <c r="B347" s="306"/>
    </row>
    <row r="348" spans="2:2">
      <c r="B348" s="306"/>
    </row>
    <row r="349" spans="2:2">
      <c r="B349" s="306"/>
    </row>
    <row r="350" spans="2:2">
      <c r="B350" s="306"/>
    </row>
    <row r="351" spans="2:2">
      <c r="B351" s="306"/>
    </row>
    <row r="352" spans="2:2">
      <c r="B352" s="306"/>
    </row>
    <row r="353" spans="2:2">
      <c r="B353" s="306"/>
    </row>
    <row r="354" spans="2:2">
      <c r="B354" s="306"/>
    </row>
    <row r="355" spans="2:2">
      <c r="B355" s="306"/>
    </row>
    <row r="356" spans="2:2">
      <c r="B356" s="306"/>
    </row>
    <row r="357" spans="2:2">
      <c r="B357" s="306"/>
    </row>
    <row r="358" spans="2:2">
      <c r="B358" s="306"/>
    </row>
    <row r="359" spans="2:2">
      <c r="B359" s="306"/>
    </row>
    <row r="360" spans="2:2">
      <c r="B360" s="306"/>
    </row>
    <row r="361" spans="2:2">
      <c r="B361" s="306"/>
    </row>
    <row r="362" spans="2:2">
      <c r="B362" s="306"/>
    </row>
    <row r="363" spans="2:2">
      <c r="B363" s="306"/>
    </row>
    <row r="364" spans="2:2">
      <c r="B364" s="306"/>
    </row>
    <row r="365" spans="2:2">
      <c r="B365" s="306"/>
    </row>
    <row r="366" spans="2:2">
      <c r="B366" s="306"/>
    </row>
    <row r="367" spans="2:2">
      <c r="B367" s="306"/>
    </row>
    <row r="368" spans="2:2">
      <c r="B368" s="306"/>
    </row>
    <row r="369" spans="2:2">
      <c r="B369" s="306"/>
    </row>
    <row r="370" spans="2:2">
      <c r="B370" s="306"/>
    </row>
    <row r="371" spans="2:2">
      <c r="B371" s="306"/>
    </row>
    <row r="372" spans="2:2">
      <c r="B372" s="306"/>
    </row>
    <row r="373" spans="2:2">
      <c r="B373" s="306"/>
    </row>
    <row r="374" spans="2:2">
      <c r="B374" s="306"/>
    </row>
    <row r="375" spans="2:2">
      <c r="B375" s="306"/>
    </row>
    <row r="376" spans="2:2">
      <c r="B376" s="306"/>
    </row>
    <row r="377" spans="2:2">
      <c r="B377" s="306"/>
    </row>
    <row r="378" spans="2:2">
      <c r="B378" s="306"/>
    </row>
    <row r="379" spans="2:2">
      <c r="B379" s="306"/>
    </row>
    <row r="380" spans="2:2">
      <c r="B380" s="306"/>
    </row>
    <row r="381" spans="2:2">
      <c r="B381" s="306"/>
    </row>
    <row r="382" spans="2:2">
      <c r="B382" s="306"/>
    </row>
    <row r="383" spans="2:2">
      <c r="B383" s="306"/>
    </row>
    <row r="384" spans="2:2">
      <c r="B384" s="306"/>
    </row>
    <row r="385" spans="2:2">
      <c r="B385" s="306"/>
    </row>
    <row r="386" spans="2:2">
      <c r="B386" s="306"/>
    </row>
    <row r="387" spans="2:2">
      <c r="B387" s="306"/>
    </row>
    <row r="388" spans="2:2">
      <c r="B388" s="306"/>
    </row>
    <row r="389" spans="2:2">
      <c r="B389" s="306"/>
    </row>
    <row r="390" spans="2:2">
      <c r="B390" s="306"/>
    </row>
    <row r="391" spans="2:2">
      <c r="B391" s="306"/>
    </row>
    <row r="392" spans="2:2">
      <c r="B392" s="306"/>
    </row>
    <row r="393" spans="2:2">
      <c r="B393" s="306"/>
    </row>
    <row r="394" spans="2:2">
      <c r="B394" s="306"/>
    </row>
    <row r="395" spans="2:2">
      <c r="B395" s="306"/>
    </row>
    <row r="396" spans="2:2">
      <c r="B396" s="306"/>
    </row>
    <row r="397" spans="2:2">
      <c r="B397" s="306"/>
    </row>
    <row r="398" spans="2:2">
      <c r="B398" s="306"/>
    </row>
    <row r="399" spans="2:2">
      <c r="B399" s="306"/>
    </row>
    <row r="400" spans="2:2">
      <c r="B400" s="306"/>
    </row>
    <row r="401" spans="2:2">
      <c r="B401" s="306"/>
    </row>
    <row r="402" spans="2:2">
      <c r="B402" s="306"/>
    </row>
    <row r="403" spans="2:2">
      <c r="B403" s="306"/>
    </row>
    <row r="404" spans="2:2">
      <c r="B404" s="306"/>
    </row>
    <row r="405" spans="2:2">
      <c r="B405" s="306"/>
    </row>
    <row r="406" spans="2:2">
      <c r="B406" s="306"/>
    </row>
    <row r="407" spans="2:2">
      <c r="B407" s="306"/>
    </row>
    <row r="408" spans="2:2">
      <c r="B408" s="306"/>
    </row>
    <row r="409" spans="2:2">
      <c r="B409" s="306"/>
    </row>
    <row r="410" spans="2:2">
      <c r="B410" s="306"/>
    </row>
    <row r="411" spans="2:2">
      <c r="B411" s="306"/>
    </row>
    <row r="412" spans="2:2">
      <c r="B412" s="306"/>
    </row>
    <row r="413" spans="2:2">
      <c r="B413" s="306"/>
    </row>
    <row r="414" spans="2:2">
      <c r="B414" s="306"/>
    </row>
    <row r="415" spans="2:2">
      <c r="B415" s="306"/>
    </row>
    <row r="416" spans="2:2">
      <c r="B416" s="306"/>
    </row>
    <row r="417" spans="2:2">
      <c r="B417" s="306"/>
    </row>
    <row r="418" spans="2:2">
      <c r="B418" s="306"/>
    </row>
    <row r="419" spans="2:2">
      <c r="B419" s="306"/>
    </row>
    <row r="420" spans="2:2">
      <c r="B420" s="306"/>
    </row>
    <row r="421" spans="2:2">
      <c r="B421" s="306"/>
    </row>
    <row r="422" spans="2:2">
      <c r="B422" s="306"/>
    </row>
    <row r="423" spans="2:2">
      <c r="B423" s="306"/>
    </row>
    <row r="424" spans="2:2">
      <c r="B424" s="306"/>
    </row>
    <row r="425" spans="2:2">
      <c r="B425" s="306"/>
    </row>
    <row r="426" spans="2:2">
      <c r="B426" s="306"/>
    </row>
    <row r="427" spans="2:2">
      <c r="B427" s="306"/>
    </row>
    <row r="428" spans="2:2">
      <c r="B428" s="306"/>
    </row>
    <row r="429" spans="2:2">
      <c r="B429" s="306"/>
    </row>
    <row r="430" spans="2:2">
      <c r="B430" s="306"/>
    </row>
    <row r="431" spans="2:2">
      <c r="B431" s="306"/>
    </row>
    <row r="432" spans="2:2">
      <c r="B432" s="306"/>
    </row>
    <row r="433" spans="2:2">
      <c r="B433" s="306"/>
    </row>
    <row r="434" spans="2:2">
      <c r="B434" s="306"/>
    </row>
    <row r="435" spans="2:2">
      <c r="B435" s="306"/>
    </row>
    <row r="436" spans="2:2">
      <c r="B436" s="306"/>
    </row>
    <row r="437" spans="2:2">
      <c r="B437" s="306"/>
    </row>
    <row r="438" spans="2:2">
      <c r="B438" s="306"/>
    </row>
    <row r="439" spans="2:2">
      <c r="B439" s="306"/>
    </row>
    <row r="440" spans="2:2">
      <c r="B440" s="306"/>
    </row>
    <row r="441" spans="2:2">
      <c r="B441" s="306"/>
    </row>
    <row r="442" spans="2:2">
      <c r="B442" s="306"/>
    </row>
    <row r="443" spans="2:2">
      <c r="B443" s="306"/>
    </row>
    <row r="444" spans="2:2">
      <c r="B444" s="306"/>
    </row>
    <row r="445" spans="2:2">
      <c r="B445" s="306"/>
    </row>
    <row r="446" spans="2:2">
      <c r="B446" s="306"/>
    </row>
    <row r="447" spans="2:2">
      <c r="B447" s="306"/>
    </row>
    <row r="448" spans="2:2">
      <c r="B448" s="306"/>
    </row>
    <row r="449" spans="2:2">
      <c r="B449" s="306"/>
    </row>
    <row r="450" spans="2:2">
      <c r="B450" s="306"/>
    </row>
    <row r="451" spans="2:2">
      <c r="B451" s="306"/>
    </row>
    <row r="452" spans="2:2">
      <c r="B452" s="306"/>
    </row>
    <row r="453" spans="2:2">
      <c r="B453" s="306"/>
    </row>
    <row r="454" spans="2:2">
      <c r="B454" s="306"/>
    </row>
    <row r="455" spans="2:2">
      <c r="B455" s="306"/>
    </row>
    <row r="456" spans="2:2">
      <c r="B456" s="306"/>
    </row>
    <row r="457" spans="2:2">
      <c r="B457" s="306"/>
    </row>
    <row r="458" spans="2:2">
      <c r="B458" s="306"/>
    </row>
    <row r="459" spans="2:2">
      <c r="B459" s="306"/>
    </row>
    <row r="460" spans="2:2">
      <c r="B460" s="306"/>
    </row>
    <row r="461" spans="2:2">
      <c r="B461" s="306"/>
    </row>
    <row r="462" spans="2:2">
      <c r="B462" s="306"/>
    </row>
    <row r="463" spans="2:2">
      <c r="B463" s="306"/>
    </row>
    <row r="464" spans="2:2">
      <c r="B464" s="306"/>
    </row>
    <row r="465" spans="2:2">
      <c r="B465" s="306"/>
    </row>
    <row r="466" spans="2:2">
      <c r="B466" s="306"/>
    </row>
    <row r="467" spans="2:2">
      <c r="B467" s="306"/>
    </row>
    <row r="468" spans="2:2">
      <c r="B468" s="306"/>
    </row>
    <row r="469" spans="2:2">
      <c r="B469" s="306"/>
    </row>
    <row r="470" spans="2:2">
      <c r="B470" s="306"/>
    </row>
    <row r="471" spans="2:2">
      <c r="B471" s="306"/>
    </row>
    <row r="472" spans="2:2">
      <c r="B472" s="306"/>
    </row>
    <row r="473" spans="2:2">
      <c r="B473" s="306"/>
    </row>
    <row r="474" spans="2:2">
      <c r="B474" s="306"/>
    </row>
    <row r="475" spans="2:2">
      <c r="B475" s="306"/>
    </row>
    <row r="476" spans="2:2">
      <c r="B476" s="306"/>
    </row>
    <row r="477" spans="2:2">
      <c r="B477" s="306"/>
    </row>
    <row r="478" spans="2:2">
      <c r="B478" s="306"/>
    </row>
    <row r="479" spans="2:2">
      <c r="B479" s="306"/>
    </row>
    <row r="480" spans="2:2">
      <c r="B480" s="306"/>
    </row>
    <row r="481" spans="2:2">
      <c r="B481" s="306"/>
    </row>
    <row r="482" spans="2:2">
      <c r="B482" s="306"/>
    </row>
    <row r="483" spans="2:2">
      <c r="B483" s="306"/>
    </row>
    <row r="484" spans="2:2">
      <c r="B484" s="306"/>
    </row>
    <row r="485" spans="2:2">
      <c r="B485" s="306"/>
    </row>
    <row r="486" spans="2:2">
      <c r="B486" s="306"/>
    </row>
    <row r="487" spans="2:2">
      <c r="B487" s="306"/>
    </row>
    <row r="488" spans="2:2">
      <c r="B488" s="306"/>
    </row>
    <row r="489" spans="2:2">
      <c r="B489" s="306"/>
    </row>
    <row r="490" spans="2:2">
      <c r="B490" s="306"/>
    </row>
    <row r="491" spans="2:2">
      <c r="B491" s="306"/>
    </row>
    <row r="492" spans="2:2">
      <c r="B492" s="306"/>
    </row>
    <row r="493" spans="2:2">
      <c r="B493" s="306"/>
    </row>
    <row r="494" spans="2:2">
      <c r="B494" s="306"/>
    </row>
    <row r="495" spans="2:2">
      <c r="B495" s="306"/>
    </row>
    <row r="496" spans="2:2">
      <c r="B496" s="306"/>
    </row>
    <row r="497" spans="2:2">
      <c r="B497" s="306"/>
    </row>
    <row r="498" spans="2:2">
      <c r="B498" s="306"/>
    </row>
    <row r="499" spans="2:2">
      <c r="B499" s="306"/>
    </row>
    <row r="500" spans="2:2">
      <c r="B500" s="306"/>
    </row>
    <row r="501" spans="2:2">
      <c r="B501" s="306"/>
    </row>
    <row r="502" spans="2:2">
      <c r="B502" s="306"/>
    </row>
    <row r="503" spans="2:2">
      <c r="B503" s="306"/>
    </row>
    <row r="504" spans="2:2">
      <c r="B504" s="306"/>
    </row>
    <row r="505" spans="2:2">
      <c r="B505" s="306"/>
    </row>
    <row r="506" spans="2:2">
      <c r="B506" s="306"/>
    </row>
    <row r="507" spans="2:2">
      <c r="B507" s="306"/>
    </row>
    <row r="508" spans="2:2">
      <c r="B508" s="306"/>
    </row>
    <row r="509" spans="2:2">
      <c r="B509" s="306"/>
    </row>
    <row r="510" spans="2:2">
      <c r="B510" s="306"/>
    </row>
    <row r="511" spans="2:2">
      <c r="B511" s="306"/>
    </row>
    <row r="512" spans="2:2">
      <c r="B512" s="306"/>
    </row>
    <row r="513" spans="2:2">
      <c r="B513" s="306"/>
    </row>
    <row r="514" spans="2:2">
      <c r="B514" s="306"/>
    </row>
    <row r="515" spans="2:2">
      <c r="B515" s="306"/>
    </row>
    <row r="516" spans="2:2">
      <c r="B516" s="306"/>
    </row>
    <row r="517" spans="2:2">
      <c r="B517" s="306"/>
    </row>
    <row r="518" spans="2:2">
      <c r="B518" s="306"/>
    </row>
    <row r="519" spans="2:2">
      <c r="B519" s="306"/>
    </row>
    <row r="520" spans="2:2">
      <c r="B520" s="306"/>
    </row>
    <row r="521" spans="2:2">
      <c r="B521" s="306"/>
    </row>
    <row r="522" spans="2:2">
      <c r="B522" s="306"/>
    </row>
    <row r="523" spans="2:2">
      <c r="B523" s="306"/>
    </row>
    <row r="524" spans="2:2">
      <c r="B524" s="306"/>
    </row>
    <row r="525" spans="2:2">
      <c r="B525" s="306"/>
    </row>
    <row r="526" spans="2:2">
      <c r="B526" s="306"/>
    </row>
    <row r="527" spans="2:2">
      <c r="B527" s="306"/>
    </row>
    <row r="528" spans="2:2">
      <c r="B528" s="306"/>
    </row>
    <row r="529" spans="2:2">
      <c r="B529" s="306"/>
    </row>
    <row r="530" spans="2:2">
      <c r="B530" s="306"/>
    </row>
    <row r="531" spans="2:2">
      <c r="B531" s="306"/>
    </row>
    <row r="532" spans="2:2">
      <c r="B532" s="306"/>
    </row>
    <row r="533" spans="2:2">
      <c r="B533" s="306"/>
    </row>
    <row r="534" spans="2:2">
      <c r="B534" s="306"/>
    </row>
    <row r="535" spans="2:2">
      <c r="B535" s="306"/>
    </row>
    <row r="536" spans="2:2">
      <c r="B536" s="306"/>
    </row>
    <row r="537" spans="2:2">
      <c r="B537" s="306"/>
    </row>
    <row r="538" spans="2:2">
      <c r="B538" s="306"/>
    </row>
    <row r="539" spans="2:2">
      <c r="B539" s="306"/>
    </row>
    <row r="540" spans="2:2">
      <c r="B540" s="306"/>
    </row>
    <row r="541" spans="2:2">
      <c r="B541" s="306"/>
    </row>
    <row r="542" spans="2:2">
      <c r="B542" s="306"/>
    </row>
    <row r="543" spans="2:2">
      <c r="B543" s="306"/>
    </row>
    <row r="544" spans="2:2">
      <c r="B544" s="306"/>
    </row>
    <row r="545" spans="2:2">
      <c r="B545" s="306"/>
    </row>
    <row r="546" spans="2:2">
      <c r="B546" s="306"/>
    </row>
    <row r="547" spans="2:2">
      <c r="B547" s="306"/>
    </row>
    <row r="548" spans="2:2">
      <c r="B548" s="306"/>
    </row>
    <row r="549" spans="2:2">
      <c r="B549" s="306"/>
    </row>
    <row r="550" spans="2:2">
      <c r="B550" s="306"/>
    </row>
    <row r="551" spans="2:2">
      <c r="B551" s="306"/>
    </row>
    <row r="552" spans="2:2">
      <c r="B552" s="306"/>
    </row>
    <row r="553" spans="2:2">
      <c r="B553" s="306"/>
    </row>
    <row r="554" spans="2:2">
      <c r="B554" s="306"/>
    </row>
    <row r="555" spans="2:2">
      <c r="B555" s="306"/>
    </row>
    <row r="556" spans="2:2">
      <c r="B556" s="306"/>
    </row>
    <row r="557" spans="2:2">
      <c r="B557" s="306"/>
    </row>
    <row r="558" spans="2:2">
      <c r="B558" s="306"/>
    </row>
    <row r="559" spans="2:2">
      <c r="B559" s="306"/>
    </row>
    <row r="560" spans="2:2">
      <c r="B560" s="306"/>
    </row>
    <row r="561" spans="2:2">
      <c r="B561" s="306"/>
    </row>
    <row r="562" spans="2:2">
      <c r="B562" s="306"/>
    </row>
    <row r="563" spans="2:2">
      <c r="B563" s="306"/>
    </row>
    <row r="564" spans="2:2">
      <c r="B564" s="306"/>
    </row>
    <row r="565" spans="2:2">
      <c r="B565" s="306"/>
    </row>
    <row r="566" spans="2:2">
      <c r="B566" s="306"/>
    </row>
    <row r="567" spans="2:2">
      <c r="B567" s="306"/>
    </row>
    <row r="568" spans="2:2">
      <c r="B568" s="306"/>
    </row>
    <row r="569" spans="2:2">
      <c r="B569" s="306"/>
    </row>
    <row r="570" spans="2:2">
      <c r="B570" s="306"/>
    </row>
    <row r="571" spans="2:2">
      <c r="B571" s="306"/>
    </row>
    <row r="572" spans="2:2">
      <c r="B572" s="306"/>
    </row>
    <row r="573" spans="2:2">
      <c r="B573" s="306"/>
    </row>
    <row r="574" spans="2:2">
      <c r="B574" s="306"/>
    </row>
    <row r="575" spans="2:2">
      <c r="B575" s="306"/>
    </row>
    <row r="576" spans="2:2">
      <c r="B576" s="306"/>
    </row>
    <row r="577" spans="2:2">
      <c r="B577" s="306"/>
    </row>
    <row r="578" spans="2:2">
      <c r="B578" s="306"/>
    </row>
    <row r="579" spans="2:2">
      <c r="B579" s="306"/>
    </row>
    <row r="580" spans="2:2">
      <c r="B580" s="306"/>
    </row>
    <row r="581" spans="2:2">
      <c r="B581" s="306"/>
    </row>
    <row r="582" spans="2:2">
      <c r="B582" s="306"/>
    </row>
    <row r="583" spans="2:2">
      <c r="B583" s="306"/>
    </row>
    <row r="584" spans="2:2">
      <c r="B584" s="306"/>
    </row>
    <row r="585" spans="2:2">
      <c r="B585" s="306"/>
    </row>
    <row r="586" spans="2:2">
      <c r="B586" s="306"/>
    </row>
    <row r="587" spans="2:2">
      <c r="B587" s="306"/>
    </row>
    <row r="588" spans="2:2">
      <c r="B588" s="306"/>
    </row>
    <row r="589" spans="2:2">
      <c r="B589" s="306"/>
    </row>
    <row r="590" spans="2:2">
      <c r="B590" s="306"/>
    </row>
    <row r="591" spans="2:2">
      <c r="B591" s="306"/>
    </row>
    <row r="592" spans="2:2">
      <c r="B592" s="306"/>
    </row>
    <row r="593" spans="2:2">
      <c r="B593" s="306"/>
    </row>
    <row r="594" spans="2:2">
      <c r="B594" s="306"/>
    </row>
    <row r="595" spans="2:2">
      <c r="B595" s="306"/>
    </row>
    <row r="596" spans="2:2">
      <c r="B596" s="306"/>
    </row>
    <row r="597" spans="2:2">
      <c r="B597" s="306"/>
    </row>
    <row r="598" spans="2:2">
      <c r="B598" s="306"/>
    </row>
    <row r="599" spans="2:2">
      <c r="B599" s="306"/>
    </row>
    <row r="600" spans="2:2">
      <c r="B600" s="306"/>
    </row>
    <row r="601" spans="2:2">
      <c r="B601" s="306"/>
    </row>
    <row r="602" spans="2:2">
      <c r="B602" s="306"/>
    </row>
    <row r="603" spans="2:2">
      <c r="B603" s="306"/>
    </row>
    <row r="604" spans="2:2">
      <c r="B604" s="306"/>
    </row>
    <row r="605" spans="2:2">
      <c r="B605" s="306"/>
    </row>
    <row r="606" spans="2:2">
      <c r="B606" s="306"/>
    </row>
    <row r="607" spans="2:2">
      <c r="B607" s="306"/>
    </row>
    <row r="608" spans="2:2">
      <c r="B608" s="306"/>
    </row>
    <row r="609" spans="2:2">
      <c r="B609" s="306"/>
    </row>
    <row r="610" spans="2:2">
      <c r="B610" s="306"/>
    </row>
    <row r="611" spans="2:2">
      <c r="B611" s="306"/>
    </row>
    <row r="612" spans="2:2">
      <c r="B612" s="306"/>
    </row>
    <row r="613" spans="2:2">
      <c r="B613" s="306"/>
    </row>
    <row r="614" spans="2:2">
      <c r="B614" s="306"/>
    </row>
    <row r="615" spans="2:2">
      <c r="B615" s="306"/>
    </row>
    <row r="616" spans="2:2">
      <c r="B616" s="306"/>
    </row>
    <row r="617" spans="2:2">
      <c r="B617" s="306"/>
    </row>
    <row r="618" spans="2:2">
      <c r="B618" s="306"/>
    </row>
    <row r="619" spans="2:2">
      <c r="B619" s="306"/>
    </row>
    <row r="620" spans="2:2">
      <c r="B620" s="306"/>
    </row>
    <row r="621" spans="2:2">
      <c r="B621" s="306"/>
    </row>
    <row r="622" spans="2:2">
      <c r="B622" s="306"/>
    </row>
    <row r="623" spans="2:2">
      <c r="B623" s="306"/>
    </row>
    <row r="624" spans="2:2">
      <c r="B624" s="306"/>
    </row>
    <row r="625" spans="2:2">
      <c r="B625" s="306"/>
    </row>
    <row r="626" spans="2:2">
      <c r="B626" s="306"/>
    </row>
    <row r="627" spans="2:2">
      <c r="B627" s="306"/>
    </row>
    <row r="628" spans="2:2">
      <c r="B628" s="306"/>
    </row>
    <row r="629" spans="2:2">
      <c r="B629" s="306"/>
    </row>
    <row r="630" spans="2:2">
      <c r="B630" s="306"/>
    </row>
    <row r="631" spans="2:2">
      <c r="B631" s="306"/>
    </row>
    <row r="632" spans="2:2">
      <c r="B632" s="306"/>
    </row>
    <row r="633" spans="2:2">
      <c r="B633" s="306"/>
    </row>
    <row r="634" spans="2:2">
      <c r="B634" s="306"/>
    </row>
    <row r="635" spans="2:2">
      <c r="B635" s="306"/>
    </row>
    <row r="636" spans="2:2">
      <c r="B636" s="306"/>
    </row>
    <row r="637" spans="2:2">
      <c r="B637" s="306"/>
    </row>
    <row r="638" spans="2:2">
      <c r="B638" s="306"/>
    </row>
    <row r="639" spans="2:2">
      <c r="B639" s="306"/>
    </row>
    <row r="640" spans="2:2">
      <c r="B640" s="306"/>
    </row>
    <row r="641" spans="2:2">
      <c r="B641" s="306"/>
    </row>
    <row r="642" spans="2:2">
      <c r="B642" s="306"/>
    </row>
    <row r="643" spans="2:2">
      <c r="B643" s="306"/>
    </row>
    <row r="644" spans="2:2">
      <c r="B644" s="306"/>
    </row>
    <row r="645" spans="2:2">
      <c r="B645" s="306"/>
    </row>
    <row r="646" spans="2:2">
      <c r="B646" s="306"/>
    </row>
    <row r="647" spans="2:2">
      <c r="B647" s="306"/>
    </row>
    <row r="648" spans="2:2">
      <c r="B648" s="306"/>
    </row>
    <row r="649" spans="2:2">
      <c r="B649" s="306"/>
    </row>
    <row r="650" spans="2:2">
      <c r="B650" s="306"/>
    </row>
    <row r="651" spans="2:2">
      <c r="B651" s="306"/>
    </row>
    <row r="652" spans="2:2">
      <c r="B652" s="306"/>
    </row>
    <row r="653" spans="2:2">
      <c r="B653" s="306"/>
    </row>
    <row r="654" spans="2:2">
      <c r="B654" s="306"/>
    </row>
    <row r="655" spans="2:2">
      <c r="B655" s="306"/>
    </row>
    <row r="656" spans="2:2">
      <c r="B656" s="306"/>
    </row>
    <row r="657" spans="2:2">
      <c r="B657" s="306"/>
    </row>
    <row r="658" spans="2:2">
      <c r="B658" s="306"/>
    </row>
    <row r="659" spans="2:2">
      <c r="B659" s="306"/>
    </row>
    <row r="660" spans="2:2">
      <c r="B660" s="306"/>
    </row>
    <row r="661" spans="2:2">
      <c r="B661" s="306"/>
    </row>
    <row r="662" spans="2:2">
      <c r="B662" s="306"/>
    </row>
    <row r="663" spans="2:2">
      <c r="B663" s="306"/>
    </row>
    <row r="664" spans="2:2">
      <c r="B664" s="306"/>
    </row>
    <row r="665" spans="2:2">
      <c r="B665" s="306"/>
    </row>
    <row r="666" spans="2:2">
      <c r="B666" s="306"/>
    </row>
    <row r="667" spans="2:2">
      <c r="B667" s="306"/>
    </row>
    <row r="668" spans="2:2">
      <c r="B668" s="306"/>
    </row>
    <row r="669" spans="2:2">
      <c r="B669" s="306"/>
    </row>
    <row r="670" spans="2:2">
      <c r="B670" s="306"/>
    </row>
    <row r="671" spans="2:2">
      <c r="B671" s="306"/>
    </row>
    <row r="672" spans="2:2">
      <c r="B672" s="306"/>
    </row>
    <row r="673" spans="2:2">
      <c r="B673" s="306"/>
    </row>
    <row r="674" spans="2:2">
      <c r="B674" s="306"/>
    </row>
    <row r="675" spans="2:2">
      <c r="B675" s="306"/>
    </row>
    <row r="676" spans="2:2">
      <c r="B676" s="306"/>
    </row>
    <row r="677" spans="2:2">
      <c r="B677" s="306"/>
    </row>
    <row r="678" spans="2:2">
      <c r="B678" s="306"/>
    </row>
    <row r="679" spans="2:2">
      <c r="B679" s="306"/>
    </row>
    <row r="680" spans="2:2">
      <c r="B680" s="306"/>
    </row>
    <row r="681" spans="2:2">
      <c r="B681" s="306"/>
    </row>
    <row r="682" spans="2:2">
      <c r="B682" s="306"/>
    </row>
    <row r="683" spans="2:2">
      <c r="B683" s="306"/>
    </row>
    <row r="684" spans="2:2">
      <c r="B684" s="306"/>
    </row>
    <row r="685" spans="2:2">
      <c r="B685" s="306"/>
    </row>
    <row r="686" spans="2:2">
      <c r="B686" s="306"/>
    </row>
    <row r="687" spans="2:2">
      <c r="B687" s="306"/>
    </row>
    <row r="688" spans="2:2">
      <c r="B688" s="306"/>
    </row>
    <row r="689" spans="2:2">
      <c r="B689" s="306"/>
    </row>
    <row r="690" spans="2:2">
      <c r="B690" s="306"/>
    </row>
    <row r="691" spans="2:2">
      <c r="B691" s="306"/>
    </row>
    <row r="692" spans="2:2">
      <c r="B692" s="306"/>
    </row>
    <row r="693" spans="2:2">
      <c r="B693" s="306"/>
    </row>
    <row r="694" spans="2:2">
      <c r="B694" s="306"/>
    </row>
    <row r="695" spans="2:2">
      <c r="B695" s="306"/>
    </row>
    <row r="696" spans="2:2">
      <c r="B696" s="306"/>
    </row>
    <row r="697" spans="2:2">
      <c r="B697" s="306"/>
    </row>
    <row r="698" spans="2:2">
      <c r="B698" s="306"/>
    </row>
    <row r="699" spans="2:2">
      <c r="B699" s="306"/>
    </row>
    <row r="700" spans="2:2">
      <c r="B700" s="306"/>
    </row>
    <row r="701" spans="2:2">
      <c r="B701" s="306"/>
    </row>
    <row r="702" spans="2:2">
      <c r="B702" s="306"/>
    </row>
    <row r="703" spans="2:2">
      <c r="B703" s="306"/>
    </row>
    <row r="704" spans="2:2">
      <c r="B704" s="306"/>
    </row>
    <row r="705" spans="2:2">
      <c r="B705" s="306"/>
    </row>
    <row r="706" spans="2:2">
      <c r="B706" s="306"/>
    </row>
    <row r="707" spans="2:2">
      <c r="B707" s="306"/>
    </row>
    <row r="708" spans="2:2">
      <c r="B708" s="306"/>
    </row>
    <row r="709" spans="2:2">
      <c r="B709" s="306"/>
    </row>
    <row r="710" spans="2:2">
      <c r="B710" s="306"/>
    </row>
    <row r="711" spans="2:2">
      <c r="B711" s="306"/>
    </row>
    <row r="712" spans="2:2">
      <c r="B712" s="306"/>
    </row>
    <row r="713" spans="2:2">
      <c r="B713" s="306"/>
    </row>
    <row r="714" spans="2:2">
      <c r="B714" s="306"/>
    </row>
    <row r="715" spans="2:2">
      <c r="B715" s="306"/>
    </row>
    <row r="716" spans="2:2">
      <c r="B716" s="306"/>
    </row>
    <row r="717" spans="2:2">
      <c r="B717" s="306"/>
    </row>
    <row r="718" spans="2:2">
      <c r="B718" s="306"/>
    </row>
    <row r="719" spans="2:2">
      <c r="B719" s="306"/>
    </row>
    <row r="720" spans="2:2">
      <c r="B720" s="306"/>
    </row>
    <row r="721" spans="2:2">
      <c r="B721" s="306"/>
    </row>
    <row r="722" spans="2:2">
      <c r="B722" s="306"/>
    </row>
    <row r="723" spans="2:2">
      <c r="B723" s="306"/>
    </row>
    <row r="724" spans="2:2">
      <c r="B724" s="306"/>
    </row>
    <row r="725" spans="2:2">
      <c r="B725" s="306"/>
    </row>
    <row r="726" spans="2:2">
      <c r="B726" s="306"/>
    </row>
    <row r="727" spans="2:2">
      <c r="B727" s="306"/>
    </row>
    <row r="728" spans="2:2">
      <c r="B728" s="306"/>
    </row>
    <row r="729" spans="2:2">
      <c r="B729" s="306"/>
    </row>
    <row r="730" spans="2:2">
      <c r="B730" s="306"/>
    </row>
    <row r="731" spans="2:2">
      <c r="B731" s="306"/>
    </row>
    <row r="732" spans="2:2">
      <c r="B732" s="306"/>
    </row>
    <row r="733" spans="2:2">
      <c r="B733" s="306"/>
    </row>
    <row r="734" spans="2:2">
      <c r="B734" s="306"/>
    </row>
    <row r="735" spans="2:2">
      <c r="B735" s="306"/>
    </row>
    <row r="736" spans="2:2">
      <c r="B736" s="306"/>
    </row>
    <row r="737" spans="2:2">
      <c r="B737" s="306"/>
    </row>
    <row r="738" spans="2:2">
      <c r="B738" s="306"/>
    </row>
    <row r="739" spans="2:2">
      <c r="B739" s="306"/>
    </row>
    <row r="740" spans="2:2">
      <c r="B740" s="306"/>
    </row>
    <row r="741" spans="2:2">
      <c r="B741" s="306"/>
    </row>
    <row r="742" spans="2:2">
      <c r="B742" s="306"/>
    </row>
    <row r="743" spans="2:2">
      <c r="B743" s="306"/>
    </row>
    <row r="744" spans="2:2">
      <c r="B744" s="306"/>
    </row>
    <row r="745" spans="2:2">
      <c r="B745" s="306"/>
    </row>
    <row r="746" spans="2:2">
      <c r="B746" s="306"/>
    </row>
    <row r="747" spans="2:2">
      <c r="B747" s="306"/>
    </row>
    <row r="748" spans="2:2">
      <c r="B748" s="306"/>
    </row>
    <row r="749" spans="2:2">
      <c r="B749" s="306"/>
    </row>
    <row r="750" spans="2:2">
      <c r="B750" s="306"/>
    </row>
    <row r="751" spans="2:2">
      <c r="B751" s="306"/>
    </row>
    <row r="752" spans="2:2">
      <c r="B752" s="306"/>
    </row>
    <row r="753" spans="2:2">
      <c r="B753" s="306"/>
    </row>
    <row r="754" spans="2:2">
      <c r="B754" s="306"/>
    </row>
    <row r="755" spans="2:2">
      <c r="B755" s="306"/>
    </row>
    <row r="756" spans="2:2">
      <c r="B756" s="306"/>
    </row>
    <row r="757" spans="2:2">
      <c r="B757" s="306"/>
    </row>
    <row r="758" spans="2:2">
      <c r="B758" s="306"/>
    </row>
    <row r="759" spans="2:2">
      <c r="B759" s="306"/>
    </row>
    <row r="760" spans="2:2">
      <c r="B760" s="306"/>
    </row>
    <row r="761" spans="2:2">
      <c r="B761" s="306"/>
    </row>
    <row r="762" spans="2:2">
      <c r="B762" s="306"/>
    </row>
    <row r="763" spans="2:2">
      <c r="B763" s="306"/>
    </row>
    <row r="764" spans="2:2">
      <c r="B764" s="306"/>
    </row>
    <row r="765" spans="2:2">
      <c r="B765" s="306"/>
    </row>
    <row r="766" spans="2:2">
      <c r="B766" s="306"/>
    </row>
    <row r="767" spans="2:2">
      <c r="B767" s="306"/>
    </row>
    <row r="768" spans="2:2">
      <c r="B768" s="306"/>
    </row>
    <row r="769" spans="2:2">
      <c r="B769" s="306"/>
    </row>
    <row r="770" spans="2:2">
      <c r="B770" s="306"/>
    </row>
    <row r="771" spans="2:2">
      <c r="B771" s="306"/>
    </row>
    <row r="772" spans="2:2">
      <c r="B772" s="306"/>
    </row>
    <row r="773" spans="2:2">
      <c r="B773" s="306"/>
    </row>
    <row r="774" spans="2:2">
      <c r="B774" s="306"/>
    </row>
    <row r="775" spans="2:2">
      <c r="B775" s="306"/>
    </row>
    <row r="776" spans="2:2">
      <c r="B776" s="306"/>
    </row>
    <row r="777" spans="2:2">
      <c r="B777" s="306"/>
    </row>
    <row r="778" spans="2:2">
      <c r="B778" s="306"/>
    </row>
    <row r="779" spans="2:2">
      <c r="B779" s="306"/>
    </row>
    <row r="780" spans="2:2">
      <c r="B780" s="306"/>
    </row>
    <row r="781" spans="2:2">
      <c r="B781" s="306"/>
    </row>
    <row r="782" spans="2:2">
      <c r="B782" s="306"/>
    </row>
    <row r="783" spans="2:2">
      <c r="B783" s="306"/>
    </row>
    <row r="784" spans="2:2">
      <c r="B784" s="306"/>
    </row>
    <row r="785" spans="2:2">
      <c r="B785" s="306"/>
    </row>
    <row r="786" spans="2:2">
      <c r="B786" s="306"/>
    </row>
    <row r="787" spans="2:2">
      <c r="B787" s="306"/>
    </row>
    <row r="788" spans="2:2">
      <c r="B788" s="306"/>
    </row>
    <row r="789" spans="2:2">
      <c r="B789" s="306"/>
    </row>
    <row r="790" spans="2:2">
      <c r="B790" s="306"/>
    </row>
    <row r="791" spans="2:2">
      <c r="B791" s="306"/>
    </row>
    <row r="792" spans="2:2">
      <c r="B792" s="306"/>
    </row>
    <row r="793" spans="2:2">
      <c r="B793" s="306"/>
    </row>
    <row r="794" spans="2:2">
      <c r="B794" s="306"/>
    </row>
    <row r="795" spans="2:2">
      <c r="B795" s="306"/>
    </row>
    <row r="796" spans="2:2">
      <c r="B796" s="306"/>
    </row>
    <row r="797" spans="2:2">
      <c r="B797" s="306"/>
    </row>
    <row r="798" spans="2:2">
      <c r="B798" s="306"/>
    </row>
    <row r="799" spans="2:2">
      <c r="B799" s="306"/>
    </row>
    <row r="800" spans="2:2">
      <c r="B800" s="306"/>
    </row>
    <row r="801" spans="2:2">
      <c r="B801" s="306"/>
    </row>
    <row r="802" spans="2:2">
      <c r="B802" s="306"/>
    </row>
    <row r="803" spans="2:2">
      <c r="B803" s="306"/>
    </row>
    <row r="804" spans="2:2">
      <c r="B804" s="306"/>
    </row>
    <row r="805" spans="2:2">
      <c r="B805" s="306"/>
    </row>
    <row r="806" spans="2:2">
      <c r="B806" s="306"/>
    </row>
    <row r="807" spans="2:2">
      <c r="B807" s="306"/>
    </row>
    <row r="808" spans="2:2">
      <c r="B808" s="306"/>
    </row>
    <row r="809" spans="2:2">
      <c r="B809" s="306"/>
    </row>
    <row r="810" spans="2:2">
      <c r="B810" s="306"/>
    </row>
    <row r="811" spans="2:2">
      <c r="B811" s="306"/>
    </row>
    <row r="812" spans="2:2">
      <c r="B812" s="306"/>
    </row>
    <row r="813" spans="2:2">
      <c r="B813" s="306"/>
    </row>
    <row r="814" spans="2:2">
      <c r="B814" s="306"/>
    </row>
    <row r="815" spans="2:2">
      <c r="B815" s="306"/>
    </row>
    <row r="816" spans="2:2">
      <c r="B816" s="306"/>
    </row>
    <row r="817" spans="2:2">
      <c r="B817" s="306"/>
    </row>
    <row r="818" spans="2:2">
      <c r="B818" s="306"/>
    </row>
    <row r="819" spans="2:2">
      <c r="B819" s="306"/>
    </row>
    <row r="820" spans="2:2">
      <c r="B820" s="306"/>
    </row>
    <row r="821" spans="2:2">
      <c r="B821" s="306"/>
    </row>
    <row r="822" spans="2:2">
      <c r="B822" s="306"/>
    </row>
    <row r="823" spans="2:2">
      <c r="B823" s="306"/>
    </row>
    <row r="824" spans="2:2">
      <c r="B824" s="306"/>
    </row>
    <row r="825" spans="2:2">
      <c r="B825" s="306"/>
    </row>
    <row r="826" spans="2:2">
      <c r="B826" s="306"/>
    </row>
    <row r="827" spans="2:2">
      <c r="B827" s="306"/>
    </row>
    <row r="828" spans="2:2">
      <c r="B828" s="306"/>
    </row>
    <row r="829" spans="2:2">
      <c r="B829" s="306"/>
    </row>
    <row r="830" spans="2:2">
      <c r="B830" s="306"/>
    </row>
    <row r="831" spans="2:2">
      <c r="B831" s="306"/>
    </row>
    <row r="832" spans="2:2">
      <c r="B832" s="306"/>
    </row>
    <row r="833" spans="2:2">
      <c r="B833" s="306"/>
    </row>
    <row r="834" spans="2:2">
      <c r="B834" s="306"/>
    </row>
    <row r="835" spans="2:2">
      <c r="B835" s="306"/>
    </row>
    <row r="836" spans="2:2">
      <c r="B836" s="306"/>
    </row>
    <row r="837" spans="2:2">
      <c r="B837" s="306"/>
    </row>
    <row r="838" spans="2:2">
      <c r="B838" s="306"/>
    </row>
    <row r="839" spans="2:2">
      <c r="B839" s="306"/>
    </row>
    <row r="840" spans="2:2">
      <c r="B840" s="306"/>
    </row>
    <row r="841" spans="2:2">
      <c r="B841" s="306"/>
    </row>
    <row r="842" spans="2:2">
      <c r="B842" s="306"/>
    </row>
    <row r="843" spans="2:2">
      <c r="B843" s="306"/>
    </row>
    <row r="844" spans="2:2">
      <c r="B844" s="306"/>
    </row>
    <row r="845" spans="2:2">
      <c r="B845" s="306"/>
    </row>
    <row r="846" spans="2:2">
      <c r="B846" s="306"/>
    </row>
    <row r="847" spans="2:2">
      <c r="B847" s="306"/>
    </row>
    <row r="848" spans="2:2">
      <c r="B848" s="306"/>
    </row>
    <row r="849" spans="2:2">
      <c r="B849" s="306"/>
    </row>
    <row r="850" spans="2:2">
      <c r="B850" s="306"/>
    </row>
    <row r="851" spans="2:2">
      <c r="B851" s="306"/>
    </row>
    <row r="852" spans="2:2">
      <c r="B852" s="306"/>
    </row>
    <row r="853" spans="2:2">
      <c r="B853" s="306"/>
    </row>
    <row r="854" spans="2:2">
      <c r="B854" s="306"/>
    </row>
    <row r="855" spans="2:2">
      <c r="B855" s="306"/>
    </row>
    <row r="856" spans="2:2">
      <c r="B856" s="306"/>
    </row>
    <row r="857" spans="2:2">
      <c r="B857" s="306"/>
    </row>
    <row r="858" spans="2:2">
      <c r="B858" s="306"/>
    </row>
    <row r="859" spans="2:2">
      <c r="B859" s="306"/>
    </row>
    <row r="860" spans="2:2">
      <c r="B860" s="306"/>
    </row>
    <row r="861" spans="2:2">
      <c r="B861" s="306"/>
    </row>
    <row r="862" spans="2:2">
      <c r="B862" s="306"/>
    </row>
    <row r="863" spans="2:2">
      <c r="B863" s="306"/>
    </row>
    <row r="864" spans="2:2">
      <c r="B864" s="306"/>
    </row>
    <row r="865" spans="2:2">
      <c r="B865" s="306"/>
    </row>
    <row r="866" spans="2:2">
      <c r="B866" s="306"/>
    </row>
    <row r="867" spans="2:2">
      <c r="B867" s="306"/>
    </row>
    <row r="868" spans="2:2">
      <c r="B868" s="306"/>
    </row>
    <row r="869" spans="2:2">
      <c r="B869" s="306"/>
    </row>
    <row r="870" spans="2:2">
      <c r="B870" s="306"/>
    </row>
    <row r="871" spans="2:2">
      <c r="B871" s="306"/>
    </row>
    <row r="872" spans="2:2">
      <c r="B872" s="306"/>
    </row>
    <row r="873" spans="2:2">
      <c r="B873" s="306"/>
    </row>
    <row r="874" spans="2:2">
      <c r="B874" s="306"/>
    </row>
    <row r="875" spans="2:2">
      <c r="B875" s="306"/>
    </row>
    <row r="876" spans="2:2">
      <c r="B876" s="306"/>
    </row>
    <row r="877" spans="2:2">
      <c r="B877" s="306"/>
    </row>
    <row r="878" spans="2:2">
      <c r="B878" s="306"/>
    </row>
    <row r="879" spans="2:2">
      <c r="B879" s="306"/>
    </row>
    <row r="880" spans="2:2">
      <c r="B880" s="306"/>
    </row>
    <row r="881" spans="2:2">
      <c r="B881" s="306"/>
    </row>
    <row r="882" spans="2:2">
      <c r="B882" s="306"/>
    </row>
    <row r="883" spans="2:2">
      <c r="B883" s="306"/>
    </row>
    <row r="884" spans="2:2">
      <c r="B884" s="306"/>
    </row>
    <row r="885" spans="2:2">
      <c r="B885" s="306"/>
    </row>
    <row r="886" spans="2:2">
      <c r="B886" s="306"/>
    </row>
    <row r="887" spans="2:2">
      <c r="B887" s="306"/>
    </row>
    <row r="888" spans="2:2">
      <c r="B888" s="306"/>
    </row>
    <row r="889" spans="2:2">
      <c r="B889" s="306"/>
    </row>
    <row r="890" spans="2:2">
      <c r="B890" s="306"/>
    </row>
    <row r="891" spans="2:2">
      <c r="B891" s="306"/>
    </row>
    <row r="892" spans="2:2">
      <c r="B892" s="306"/>
    </row>
    <row r="893" spans="2:2">
      <c r="B893" s="306"/>
    </row>
    <row r="894" spans="2:2">
      <c r="B894" s="306"/>
    </row>
    <row r="895" spans="2:2">
      <c r="B895" s="306"/>
    </row>
    <row r="896" spans="2:2">
      <c r="B896" s="306"/>
    </row>
    <row r="897" spans="2:2">
      <c r="B897" s="306"/>
    </row>
    <row r="898" spans="2:2">
      <c r="B898" s="306"/>
    </row>
    <row r="899" spans="2:2">
      <c r="B899" s="306"/>
    </row>
    <row r="900" spans="2:2">
      <c r="B900" s="306"/>
    </row>
    <row r="901" spans="2:2">
      <c r="B901" s="306"/>
    </row>
    <row r="902" spans="2:2">
      <c r="B902" s="306"/>
    </row>
    <row r="903" spans="2:2">
      <c r="B903" s="306"/>
    </row>
    <row r="904" spans="2:2">
      <c r="B904" s="306"/>
    </row>
    <row r="905" spans="2:2">
      <c r="B905" s="306"/>
    </row>
    <row r="906" spans="2:2">
      <c r="B906" s="306"/>
    </row>
    <row r="907" spans="2:2">
      <c r="B907" s="306"/>
    </row>
    <row r="908" spans="2:2">
      <c r="B908" s="306"/>
    </row>
    <row r="909" spans="2:2">
      <c r="B909" s="306"/>
    </row>
    <row r="910" spans="2:2">
      <c r="B910" s="306"/>
    </row>
    <row r="911" spans="2:2">
      <c r="B911" s="306"/>
    </row>
    <row r="912" spans="2:2">
      <c r="B912" s="306"/>
    </row>
    <row r="913" spans="2:2">
      <c r="B913" s="306"/>
    </row>
    <row r="914" spans="2:2">
      <c r="B914" s="306"/>
    </row>
    <row r="915" spans="2:2">
      <c r="B915" s="306"/>
    </row>
    <row r="916" spans="2:2">
      <c r="B916" s="306"/>
    </row>
    <row r="917" spans="2:2">
      <c r="B917" s="306"/>
    </row>
    <row r="918" spans="2:2">
      <c r="B918" s="306"/>
    </row>
    <row r="919" spans="2:2">
      <c r="B919" s="306"/>
    </row>
    <row r="920" spans="2:2">
      <c r="B920" s="306"/>
    </row>
    <row r="921" spans="2:2">
      <c r="B921" s="306"/>
    </row>
    <row r="922" spans="2:2">
      <c r="B922" s="306"/>
    </row>
    <row r="923" spans="2:2">
      <c r="B923" s="306"/>
    </row>
    <row r="924" spans="2:2">
      <c r="B924" s="306"/>
    </row>
    <row r="925" spans="2:2">
      <c r="B925" s="306"/>
    </row>
    <row r="926" spans="2:2">
      <c r="B926" s="306"/>
    </row>
    <row r="927" spans="2:2">
      <c r="B927" s="306"/>
    </row>
    <row r="928" spans="2:2">
      <c r="B928" s="306"/>
    </row>
    <row r="929" spans="2:2">
      <c r="B929" s="306"/>
    </row>
    <row r="930" spans="2:2">
      <c r="B930" s="306"/>
    </row>
    <row r="931" spans="2:2">
      <c r="B931" s="306"/>
    </row>
    <row r="932" spans="2:2">
      <c r="B932" s="306"/>
    </row>
    <row r="933" spans="2:2">
      <c r="B933" s="306"/>
    </row>
    <row r="934" spans="2:2">
      <c r="B934" s="306"/>
    </row>
    <row r="935" spans="2:2">
      <c r="B935" s="306"/>
    </row>
    <row r="936" spans="2:2">
      <c r="B936" s="306"/>
    </row>
    <row r="937" spans="2:2">
      <c r="B937" s="306"/>
    </row>
    <row r="938" spans="2:2">
      <c r="B938" s="306"/>
    </row>
    <row r="939" spans="2:2">
      <c r="B939" s="306"/>
    </row>
    <row r="940" spans="2:2">
      <c r="B940" s="306"/>
    </row>
    <row r="941" spans="2:2">
      <c r="B941" s="306"/>
    </row>
    <row r="942" spans="2:2">
      <c r="B942" s="306"/>
    </row>
    <row r="943" spans="2:2">
      <c r="B943" s="306"/>
    </row>
    <row r="944" spans="2:2">
      <c r="B944" s="306"/>
    </row>
    <row r="945" spans="2:2">
      <c r="B945" s="306"/>
    </row>
    <row r="946" spans="2:2">
      <c r="B946" s="306"/>
    </row>
    <row r="947" spans="2:2">
      <c r="B947" s="306"/>
    </row>
    <row r="948" spans="2:2">
      <c r="B948" s="306"/>
    </row>
    <row r="949" spans="2:2">
      <c r="B949" s="306"/>
    </row>
    <row r="950" spans="2:2">
      <c r="B950" s="306"/>
    </row>
    <row r="951" spans="2:2">
      <c r="B951" s="306"/>
    </row>
    <row r="952" spans="2:2">
      <c r="B952" s="306"/>
    </row>
    <row r="953" spans="2:2">
      <c r="B953" s="306"/>
    </row>
    <row r="954" spans="2:2">
      <c r="B954" s="306"/>
    </row>
    <row r="955" spans="2:2">
      <c r="B955" s="306"/>
    </row>
    <row r="956" spans="2:2">
      <c r="B956" s="306"/>
    </row>
    <row r="957" spans="2:2">
      <c r="B957" s="306"/>
    </row>
    <row r="958" spans="2:2">
      <c r="B958" s="306"/>
    </row>
    <row r="959" spans="2:2">
      <c r="B959" s="306"/>
    </row>
    <row r="960" spans="2:2">
      <c r="B960" s="306"/>
    </row>
    <row r="961" spans="2:2">
      <c r="B961" s="306"/>
    </row>
    <row r="962" spans="2:2">
      <c r="B962" s="306"/>
    </row>
    <row r="963" spans="2:2">
      <c r="B963" s="306"/>
    </row>
    <row r="964" spans="2:2">
      <c r="B964" s="306"/>
    </row>
  </sheetData>
  <autoFilter ref="A2:H60" xr:uid="{B43B85B6-7C82-4265-866F-35A89A5B946B}">
    <sortState xmlns:xlrd2="http://schemas.microsoft.com/office/spreadsheetml/2017/richdata2" ref="A3:H60">
      <sortCondition ref="A2:A60"/>
    </sortState>
  </autoFilter>
  <sortState xmlns:xlrd2="http://schemas.microsoft.com/office/spreadsheetml/2017/richdata2" ref="B3:E60">
    <sortCondition ref="E3:E60"/>
  </sortState>
  <mergeCells count="25">
    <mergeCell ref="A1:H1"/>
    <mergeCell ref="H8:H12"/>
    <mergeCell ref="G8:G12"/>
    <mergeCell ref="H3:H7"/>
    <mergeCell ref="G13:G17"/>
    <mergeCell ref="H13:H17"/>
    <mergeCell ref="G3:G7"/>
    <mergeCell ref="H18:H22"/>
    <mergeCell ref="G18:G22"/>
    <mergeCell ref="H23:H27"/>
    <mergeCell ref="G23:G27"/>
    <mergeCell ref="H28:H32"/>
    <mergeCell ref="G28:G32"/>
    <mergeCell ref="H33:H37"/>
    <mergeCell ref="G33:G37"/>
    <mergeCell ref="H38:H42"/>
    <mergeCell ref="G38:G42"/>
    <mergeCell ref="H43:H47"/>
    <mergeCell ref="G43:G47"/>
    <mergeCell ref="H48:H51"/>
    <mergeCell ref="G48:G51"/>
    <mergeCell ref="H57:H60"/>
    <mergeCell ref="G57:G60"/>
    <mergeCell ref="G52:G56"/>
    <mergeCell ref="H52:H56"/>
  </mergeCells>
  <phoneticPr fontId="15" type="noConversion"/>
  <conditionalFormatting sqref="B2:B9 B11:B60">
    <cfRule type="duplicateValues" dxfId="118" priority="135"/>
  </conditionalFormatting>
  <conditionalFormatting sqref="B61:B1048576">
    <cfRule type="duplicateValues" dxfId="117" priority="134"/>
  </conditionalFormatting>
  <hyperlinks>
    <hyperlink ref="F20" r:id="rId1" xr:uid="{7F000A8A-F94C-43ED-BD31-C3FA19CF1825}"/>
    <hyperlink ref="F32" r:id="rId2" xr:uid="{91ADC9B0-E39F-4D7D-A11C-6B069300136C}"/>
    <hyperlink ref="F58" r:id="rId3" xr:uid="{48478673-C7A2-4C0D-B8B6-58CBEEB979E9}"/>
    <hyperlink ref="F56" r:id="rId4" xr:uid="{58164F09-0B65-4144-8D35-72BD39D5AFB1}"/>
    <hyperlink ref="F40" r:id="rId5" xr:uid="{E3C3A9DD-E045-49E8-88EA-E3AF5C44752C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C7ED-B7EE-4DC2-9C7A-AAC2468F8EE5}">
  <sheetPr>
    <tabColor rgb="FF92D050"/>
  </sheetPr>
  <dimension ref="A1:V17"/>
  <sheetViews>
    <sheetView topLeftCell="A5" zoomScale="80" zoomScaleNormal="80" workbookViewId="0">
      <selection activeCell="A13" sqref="A13:XFD13"/>
    </sheetView>
  </sheetViews>
  <sheetFormatPr defaultColWidth="11.42578125" defaultRowHeight="30.75" customHeight="1"/>
  <cols>
    <col min="1" max="1" width="66.7109375" customWidth="1"/>
    <col min="2" max="2" width="14.5703125" style="1" customWidth="1"/>
    <col min="3" max="3" width="6.85546875" style="1" customWidth="1"/>
    <col min="4" max="22" width="7.42578125" style="1" customWidth="1"/>
  </cols>
  <sheetData>
    <row r="1" spans="1:22" ht="30.75" customHeight="1">
      <c r="A1" s="396" t="s">
        <v>155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</row>
    <row r="2" spans="1:22" ht="30.75" customHeight="1">
      <c r="A2" s="396" t="s">
        <v>156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</row>
    <row r="3" spans="1:22" s="13" customFormat="1" ht="30.75" customHeight="1">
      <c r="A3" s="402" t="s">
        <v>157</v>
      </c>
      <c r="B3" s="403" t="s">
        <v>158</v>
      </c>
      <c r="C3" s="407" t="s">
        <v>159</v>
      </c>
      <c r="D3" s="407"/>
      <c r="E3" s="407"/>
      <c r="F3" s="407" t="s">
        <v>160</v>
      </c>
      <c r="G3" s="407"/>
      <c r="H3" s="407"/>
      <c r="I3" s="407"/>
      <c r="J3" s="408" t="s">
        <v>161</v>
      </c>
      <c r="K3" s="409"/>
      <c r="L3" s="409"/>
      <c r="M3" s="410"/>
      <c r="N3" s="408" t="s">
        <v>162</v>
      </c>
      <c r="O3" s="409"/>
      <c r="P3" s="409"/>
      <c r="Q3" s="410"/>
      <c r="R3" s="408" t="s">
        <v>163</v>
      </c>
      <c r="S3" s="409"/>
      <c r="T3" s="409"/>
      <c r="U3" s="410"/>
      <c r="V3" s="56" t="s">
        <v>164</v>
      </c>
    </row>
    <row r="4" spans="1:22" ht="30.75" customHeight="1">
      <c r="A4" s="402"/>
      <c r="B4" s="403"/>
      <c r="C4" s="59">
        <v>13</v>
      </c>
      <c r="D4" s="56">
        <v>20</v>
      </c>
      <c r="E4" s="56">
        <v>27</v>
      </c>
      <c r="F4" s="56">
        <v>3</v>
      </c>
      <c r="G4" s="56">
        <v>10</v>
      </c>
      <c r="H4" s="56">
        <v>17</v>
      </c>
      <c r="I4" s="56">
        <v>24</v>
      </c>
      <c r="J4" s="56">
        <v>3</v>
      </c>
      <c r="K4" s="56">
        <v>10</v>
      </c>
      <c r="L4" s="56">
        <v>17</v>
      </c>
      <c r="M4" s="56">
        <v>24</v>
      </c>
      <c r="N4" s="56">
        <v>7</v>
      </c>
      <c r="O4" s="56">
        <v>14</v>
      </c>
      <c r="P4" s="56">
        <v>21</v>
      </c>
      <c r="Q4" s="56">
        <v>28</v>
      </c>
      <c r="R4" s="56">
        <v>5</v>
      </c>
      <c r="S4" s="56">
        <v>12</v>
      </c>
      <c r="T4" s="56">
        <v>19</v>
      </c>
      <c r="U4" s="56">
        <v>26</v>
      </c>
      <c r="V4" s="56">
        <v>2</v>
      </c>
    </row>
    <row r="5" spans="1:22" ht="30.75" customHeight="1">
      <c r="A5" s="60" t="s">
        <v>165</v>
      </c>
      <c r="B5" s="47" t="s">
        <v>166</v>
      </c>
      <c r="C5" s="401" t="s">
        <v>167</v>
      </c>
      <c r="D5" s="401"/>
      <c r="E5" s="401"/>
      <c r="F5" s="401"/>
      <c r="G5" s="401"/>
      <c r="H5" s="401"/>
      <c r="I5" s="401"/>
      <c r="J5" s="401"/>
      <c r="K5" s="401"/>
      <c r="L5" s="401"/>
      <c r="M5" s="411" t="s">
        <v>168</v>
      </c>
      <c r="N5" s="411"/>
      <c r="O5" s="411"/>
      <c r="P5" s="411"/>
      <c r="Q5" s="411"/>
      <c r="R5" s="411"/>
      <c r="S5" s="411"/>
      <c r="T5" s="411"/>
      <c r="U5" s="411"/>
      <c r="V5" s="411"/>
    </row>
    <row r="6" spans="1:22" ht="30.75" customHeight="1">
      <c r="A6" s="61" t="s">
        <v>169</v>
      </c>
      <c r="B6" s="47" t="s">
        <v>170</v>
      </c>
      <c r="C6" s="404" t="s">
        <v>171</v>
      </c>
      <c r="D6" s="397" t="s">
        <v>172</v>
      </c>
      <c r="E6" s="400" t="s">
        <v>173</v>
      </c>
      <c r="F6" s="405" t="s">
        <v>174</v>
      </c>
      <c r="G6" s="406" t="s">
        <v>175</v>
      </c>
      <c r="H6" s="378" t="s">
        <v>176</v>
      </c>
      <c r="I6" s="379" t="s">
        <v>177</v>
      </c>
      <c r="J6" s="380" t="s">
        <v>178</v>
      </c>
      <c r="K6" s="398" t="s">
        <v>179</v>
      </c>
      <c r="L6" s="399" t="s">
        <v>180</v>
      </c>
      <c r="M6" s="397" t="s">
        <v>181</v>
      </c>
      <c r="N6" s="400" t="s">
        <v>182</v>
      </c>
      <c r="O6" s="405" t="s">
        <v>183</v>
      </c>
      <c r="P6" s="406" t="s">
        <v>184</v>
      </c>
      <c r="Q6" s="378" t="s">
        <v>185</v>
      </c>
      <c r="R6" s="379" t="s">
        <v>186</v>
      </c>
      <c r="S6" s="380" t="s">
        <v>187</v>
      </c>
      <c r="T6" s="398" t="s">
        <v>188</v>
      </c>
      <c r="U6" s="399" t="s">
        <v>189</v>
      </c>
      <c r="V6" s="404" t="s">
        <v>190</v>
      </c>
    </row>
    <row r="7" spans="1:22" ht="30.75" customHeight="1">
      <c r="A7" s="61" t="s">
        <v>191</v>
      </c>
      <c r="B7" s="47" t="s">
        <v>192</v>
      </c>
      <c r="C7" s="404"/>
      <c r="D7" s="397"/>
      <c r="E7" s="400"/>
      <c r="F7" s="405"/>
      <c r="G7" s="406"/>
      <c r="H7" s="378"/>
      <c r="I7" s="379"/>
      <c r="J7" s="380"/>
      <c r="K7" s="398"/>
      <c r="L7" s="399"/>
      <c r="M7" s="397"/>
      <c r="N7" s="400"/>
      <c r="O7" s="405"/>
      <c r="P7" s="406"/>
      <c r="Q7" s="378"/>
      <c r="R7" s="379"/>
      <c r="S7" s="380"/>
      <c r="T7" s="398"/>
      <c r="U7" s="399"/>
      <c r="V7" s="404"/>
    </row>
    <row r="8" spans="1:22" ht="30.75" customHeight="1">
      <c r="A8" s="136" t="s">
        <v>193</v>
      </c>
      <c r="B8" s="47" t="s">
        <v>194</v>
      </c>
      <c r="C8" s="404"/>
      <c r="D8" s="57" t="s">
        <v>180</v>
      </c>
      <c r="E8" s="48" t="s">
        <v>172</v>
      </c>
      <c r="F8" s="49" t="s">
        <v>173</v>
      </c>
      <c r="G8" s="50" t="s">
        <v>174</v>
      </c>
      <c r="H8" s="51" t="s">
        <v>175</v>
      </c>
      <c r="I8" s="52" t="s">
        <v>176</v>
      </c>
      <c r="J8" s="53" t="s">
        <v>177</v>
      </c>
      <c r="K8" s="54" t="s">
        <v>178</v>
      </c>
      <c r="L8" s="58" t="s">
        <v>179</v>
      </c>
      <c r="M8" s="57" t="s">
        <v>189</v>
      </c>
      <c r="N8" s="48" t="s">
        <v>181</v>
      </c>
      <c r="O8" s="49" t="s">
        <v>182</v>
      </c>
      <c r="P8" s="50" t="s">
        <v>183</v>
      </c>
      <c r="Q8" s="51" t="s">
        <v>184</v>
      </c>
      <c r="R8" s="52" t="s">
        <v>185</v>
      </c>
      <c r="S8" s="53" t="s">
        <v>186</v>
      </c>
      <c r="T8" s="54" t="s">
        <v>187</v>
      </c>
      <c r="U8" s="58" t="s">
        <v>188</v>
      </c>
      <c r="V8" s="404"/>
    </row>
    <row r="9" spans="1:22" ht="30.75" customHeight="1">
      <c r="A9" s="61" t="s">
        <v>195</v>
      </c>
      <c r="B9" s="47" t="s">
        <v>166</v>
      </c>
      <c r="C9" s="404"/>
      <c r="D9" s="58" t="s">
        <v>179</v>
      </c>
      <c r="E9" s="57" t="s">
        <v>180</v>
      </c>
      <c r="F9" s="48" t="s">
        <v>172</v>
      </c>
      <c r="G9" s="49" t="s">
        <v>173</v>
      </c>
      <c r="H9" s="50" t="s">
        <v>174</v>
      </c>
      <c r="I9" s="51" t="s">
        <v>175</v>
      </c>
      <c r="J9" s="52" t="s">
        <v>176</v>
      </c>
      <c r="K9" s="53" t="s">
        <v>177</v>
      </c>
      <c r="L9" s="54" t="s">
        <v>178</v>
      </c>
      <c r="M9" s="58" t="s">
        <v>188</v>
      </c>
      <c r="N9" s="57" t="s">
        <v>189</v>
      </c>
      <c r="O9" s="48" t="s">
        <v>181</v>
      </c>
      <c r="P9" s="49" t="s">
        <v>182</v>
      </c>
      <c r="Q9" s="50" t="s">
        <v>183</v>
      </c>
      <c r="R9" s="51" t="s">
        <v>184</v>
      </c>
      <c r="S9" s="52" t="s">
        <v>185</v>
      </c>
      <c r="T9" s="53" t="s">
        <v>186</v>
      </c>
      <c r="U9" s="54" t="s">
        <v>187</v>
      </c>
      <c r="V9" s="404"/>
    </row>
    <row r="10" spans="1:22" ht="30.75" customHeight="1">
      <c r="A10" s="136" t="s">
        <v>196</v>
      </c>
      <c r="B10" s="47" t="s">
        <v>194</v>
      </c>
      <c r="C10" s="404"/>
      <c r="D10" s="54" t="s">
        <v>178</v>
      </c>
      <c r="E10" s="58" t="s">
        <v>179</v>
      </c>
      <c r="F10" s="57" t="s">
        <v>180</v>
      </c>
      <c r="G10" s="48" t="s">
        <v>172</v>
      </c>
      <c r="H10" s="49" t="s">
        <v>173</v>
      </c>
      <c r="I10" s="50" t="s">
        <v>174</v>
      </c>
      <c r="J10" s="51" t="s">
        <v>175</v>
      </c>
      <c r="K10" s="52" t="s">
        <v>176</v>
      </c>
      <c r="L10" s="53" t="s">
        <v>177</v>
      </c>
      <c r="M10" s="54" t="s">
        <v>187</v>
      </c>
      <c r="N10" s="58" t="s">
        <v>188</v>
      </c>
      <c r="O10" s="57" t="s">
        <v>189</v>
      </c>
      <c r="P10" s="48" t="s">
        <v>181</v>
      </c>
      <c r="Q10" s="49" t="s">
        <v>182</v>
      </c>
      <c r="R10" s="50" t="s">
        <v>183</v>
      </c>
      <c r="S10" s="51" t="s">
        <v>184</v>
      </c>
      <c r="T10" s="52" t="s">
        <v>185</v>
      </c>
      <c r="U10" s="53" t="s">
        <v>186</v>
      </c>
      <c r="V10" s="404"/>
    </row>
    <row r="11" spans="1:22" ht="30.75" customHeight="1">
      <c r="A11" s="61" t="s">
        <v>197</v>
      </c>
      <c r="B11" s="47" t="s">
        <v>198</v>
      </c>
      <c r="C11" s="404"/>
      <c r="D11" s="53" t="s">
        <v>177</v>
      </c>
      <c r="E11" s="54" t="s">
        <v>178</v>
      </c>
      <c r="F11" s="58" t="s">
        <v>179</v>
      </c>
      <c r="G11" s="57" t="s">
        <v>180</v>
      </c>
      <c r="H11" s="48" t="s">
        <v>172</v>
      </c>
      <c r="I11" s="49" t="s">
        <v>173</v>
      </c>
      <c r="J11" s="50" t="s">
        <v>174</v>
      </c>
      <c r="K11" s="51" t="s">
        <v>175</v>
      </c>
      <c r="L11" s="52" t="s">
        <v>176</v>
      </c>
      <c r="M11" s="53" t="s">
        <v>186</v>
      </c>
      <c r="N11" s="54" t="s">
        <v>187</v>
      </c>
      <c r="O11" s="58" t="s">
        <v>188</v>
      </c>
      <c r="P11" s="57" t="s">
        <v>189</v>
      </c>
      <c r="Q11" s="48" t="s">
        <v>181</v>
      </c>
      <c r="R11" s="49" t="s">
        <v>182</v>
      </c>
      <c r="S11" s="50" t="s">
        <v>183</v>
      </c>
      <c r="T11" s="51" t="s">
        <v>184</v>
      </c>
      <c r="U11" s="52" t="s">
        <v>185</v>
      </c>
      <c r="V11" s="404"/>
    </row>
    <row r="12" spans="1:22" ht="30.75" customHeight="1">
      <c r="A12" s="136" t="s">
        <v>199</v>
      </c>
      <c r="B12" s="47" t="s">
        <v>194</v>
      </c>
      <c r="C12" s="404"/>
      <c r="D12" s="55" t="s">
        <v>176</v>
      </c>
      <c r="E12" s="53" t="s">
        <v>177</v>
      </c>
      <c r="F12" s="54" t="s">
        <v>178</v>
      </c>
      <c r="G12" s="58" t="s">
        <v>179</v>
      </c>
      <c r="H12" s="57" t="s">
        <v>180</v>
      </c>
      <c r="I12" s="48" t="s">
        <v>172</v>
      </c>
      <c r="J12" s="49" t="s">
        <v>173</v>
      </c>
      <c r="K12" s="50" t="s">
        <v>174</v>
      </c>
      <c r="L12" s="51" t="s">
        <v>175</v>
      </c>
      <c r="M12" s="55" t="s">
        <v>185</v>
      </c>
      <c r="N12" s="53" t="s">
        <v>186</v>
      </c>
      <c r="O12" s="54" t="s">
        <v>187</v>
      </c>
      <c r="P12" s="58" t="s">
        <v>188</v>
      </c>
      <c r="Q12" s="57" t="s">
        <v>189</v>
      </c>
      <c r="R12" s="48" t="s">
        <v>181</v>
      </c>
      <c r="S12" s="49" t="s">
        <v>182</v>
      </c>
      <c r="T12" s="50" t="s">
        <v>183</v>
      </c>
      <c r="U12" s="51" t="s">
        <v>184</v>
      </c>
      <c r="V12" s="404"/>
    </row>
    <row r="13" spans="1:22" ht="30.75" customHeight="1">
      <c r="A13" s="137" t="s">
        <v>200</v>
      </c>
      <c r="B13" s="47" t="s">
        <v>166</v>
      </c>
      <c r="C13" s="404"/>
      <c r="D13" s="159" t="s">
        <v>175</v>
      </c>
      <c r="E13" s="174" t="s">
        <v>176</v>
      </c>
      <c r="F13" s="176" t="s">
        <v>177</v>
      </c>
      <c r="G13" s="175" t="s">
        <v>178</v>
      </c>
      <c r="H13" s="177" t="s">
        <v>179</v>
      </c>
      <c r="I13" s="178" t="s">
        <v>180</v>
      </c>
      <c r="J13" s="173" t="s">
        <v>172</v>
      </c>
      <c r="K13" s="172" t="s">
        <v>173</v>
      </c>
      <c r="L13" s="171" t="s">
        <v>174</v>
      </c>
      <c r="M13" s="170" t="s">
        <v>184</v>
      </c>
      <c r="N13" s="174" t="s">
        <v>185</v>
      </c>
      <c r="O13" s="176" t="s">
        <v>186</v>
      </c>
      <c r="P13" s="175" t="s">
        <v>187</v>
      </c>
      <c r="Q13" s="177" t="s">
        <v>188</v>
      </c>
      <c r="R13" s="178" t="s">
        <v>189</v>
      </c>
      <c r="S13" s="173" t="s">
        <v>181</v>
      </c>
      <c r="T13" s="172" t="s">
        <v>182</v>
      </c>
      <c r="U13" s="171" t="s">
        <v>183</v>
      </c>
      <c r="V13" s="404"/>
    </row>
    <row r="14" spans="1:22" ht="30.75" customHeight="1">
      <c r="A14" s="61" t="s">
        <v>201</v>
      </c>
      <c r="B14" s="47" t="s">
        <v>202</v>
      </c>
      <c r="C14" s="404"/>
      <c r="D14" s="375" t="s">
        <v>174</v>
      </c>
      <c r="E14" s="372" t="s">
        <v>175</v>
      </c>
      <c r="F14" s="369" t="s">
        <v>176</v>
      </c>
      <c r="G14" s="366" t="s">
        <v>177</v>
      </c>
      <c r="H14" s="384" t="s">
        <v>178</v>
      </c>
      <c r="I14" s="387" t="s">
        <v>179</v>
      </c>
      <c r="J14" s="393" t="s">
        <v>180</v>
      </c>
      <c r="K14" s="390" t="s">
        <v>172</v>
      </c>
      <c r="L14" s="381" t="s">
        <v>173</v>
      </c>
      <c r="M14" s="375" t="s">
        <v>183</v>
      </c>
      <c r="N14" s="372" t="s">
        <v>184</v>
      </c>
      <c r="O14" s="369" t="s">
        <v>185</v>
      </c>
      <c r="P14" s="366" t="s">
        <v>186</v>
      </c>
      <c r="Q14" s="384" t="s">
        <v>187</v>
      </c>
      <c r="R14" s="387" t="s">
        <v>188</v>
      </c>
      <c r="S14" s="393" t="s">
        <v>189</v>
      </c>
      <c r="T14" s="390" t="s">
        <v>181</v>
      </c>
      <c r="U14" s="381" t="s">
        <v>182</v>
      </c>
      <c r="V14" s="404"/>
    </row>
    <row r="15" spans="1:22" ht="30.75" customHeight="1">
      <c r="A15" s="61" t="s">
        <v>191</v>
      </c>
      <c r="B15" s="231" t="s">
        <v>203</v>
      </c>
      <c r="C15" s="404"/>
      <c r="D15" s="376"/>
      <c r="E15" s="373"/>
      <c r="F15" s="370"/>
      <c r="G15" s="367"/>
      <c r="H15" s="385"/>
      <c r="I15" s="388"/>
      <c r="J15" s="394"/>
      <c r="K15" s="391"/>
      <c r="L15" s="382"/>
      <c r="M15" s="376"/>
      <c r="N15" s="373"/>
      <c r="O15" s="370"/>
      <c r="P15" s="367"/>
      <c r="Q15" s="385"/>
      <c r="R15" s="388"/>
      <c r="S15" s="394"/>
      <c r="T15" s="391"/>
      <c r="U15" s="382"/>
      <c r="V15" s="404"/>
    </row>
    <row r="16" spans="1:22" ht="30.75" customHeight="1">
      <c r="A16" s="136" t="s">
        <v>204</v>
      </c>
      <c r="B16" s="47" t="s">
        <v>194</v>
      </c>
      <c r="C16" s="404"/>
      <c r="D16" s="377"/>
      <c r="E16" s="374"/>
      <c r="F16" s="371"/>
      <c r="G16" s="368"/>
      <c r="H16" s="386"/>
      <c r="I16" s="389"/>
      <c r="J16" s="395"/>
      <c r="K16" s="392"/>
      <c r="L16" s="383"/>
      <c r="M16" s="377"/>
      <c r="N16" s="374"/>
      <c r="O16" s="371"/>
      <c r="P16" s="368"/>
      <c r="Q16" s="386"/>
      <c r="R16" s="389"/>
      <c r="S16" s="395"/>
      <c r="T16" s="392"/>
      <c r="U16" s="383"/>
      <c r="V16" s="404"/>
    </row>
    <row r="17" spans="1:22" ht="30.75" customHeight="1">
      <c r="A17" s="61" t="s">
        <v>205</v>
      </c>
      <c r="B17" s="47" t="s">
        <v>166</v>
      </c>
      <c r="C17" s="404"/>
      <c r="D17" s="49" t="s">
        <v>173</v>
      </c>
      <c r="E17" s="50" t="s">
        <v>174</v>
      </c>
      <c r="F17" s="51" t="s">
        <v>175</v>
      </c>
      <c r="G17" s="52" t="s">
        <v>176</v>
      </c>
      <c r="H17" s="53" t="s">
        <v>177</v>
      </c>
      <c r="I17" s="54" t="s">
        <v>178</v>
      </c>
      <c r="J17" s="58" t="s">
        <v>179</v>
      </c>
      <c r="K17" s="57" t="s">
        <v>180</v>
      </c>
      <c r="L17" s="48" t="s">
        <v>172</v>
      </c>
      <c r="M17" s="49" t="s">
        <v>182</v>
      </c>
      <c r="N17" s="50" t="s">
        <v>183</v>
      </c>
      <c r="O17" s="51" t="s">
        <v>184</v>
      </c>
      <c r="P17" s="52" t="s">
        <v>185</v>
      </c>
      <c r="Q17" s="53" t="s">
        <v>186</v>
      </c>
      <c r="R17" s="54" t="s">
        <v>187</v>
      </c>
      <c r="S17" s="58" t="s">
        <v>188</v>
      </c>
      <c r="T17" s="57" t="s">
        <v>189</v>
      </c>
      <c r="U17" s="48" t="s">
        <v>181</v>
      </c>
      <c r="V17" s="404"/>
    </row>
  </sheetData>
  <mergeCells count="49">
    <mergeCell ref="A2:V2"/>
    <mergeCell ref="F3:I3"/>
    <mergeCell ref="H6:H7"/>
    <mergeCell ref="N3:Q3"/>
    <mergeCell ref="M5:V5"/>
    <mergeCell ref="T6:T7"/>
    <mergeCell ref="U6:U7"/>
    <mergeCell ref="V6:V17"/>
    <mergeCell ref="L14:L16"/>
    <mergeCell ref="K14:K16"/>
    <mergeCell ref="J14:J16"/>
    <mergeCell ref="J3:M3"/>
    <mergeCell ref="M6:M7"/>
    <mergeCell ref="R3:U3"/>
    <mergeCell ref="P6:P7"/>
    <mergeCell ref="O6:O7"/>
    <mergeCell ref="A1:V1"/>
    <mergeCell ref="D6:D7"/>
    <mergeCell ref="I6:I7"/>
    <mergeCell ref="J6:J7"/>
    <mergeCell ref="K6:K7"/>
    <mergeCell ref="L6:L7"/>
    <mergeCell ref="N6:N7"/>
    <mergeCell ref="C5:L5"/>
    <mergeCell ref="A3:A4"/>
    <mergeCell ref="B3:B4"/>
    <mergeCell ref="C6:C17"/>
    <mergeCell ref="E6:E7"/>
    <mergeCell ref="F6:F7"/>
    <mergeCell ref="G6:G7"/>
    <mergeCell ref="D14:D16"/>
    <mergeCell ref="C3:E3"/>
    <mergeCell ref="Q6:Q7"/>
    <mergeCell ref="R6:R7"/>
    <mergeCell ref="S6:S7"/>
    <mergeCell ref="U14:U16"/>
    <mergeCell ref="H14:H16"/>
    <mergeCell ref="I14:I16"/>
    <mergeCell ref="T14:T16"/>
    <mergeCell ref="S14:S16"/>
    <mergeCell ref="R14:R16"/>
    <mergeCell ref="Q14:Q16"/>
    <mergeCell ref="P14:P16"/>
    <mergeCell ref="G14:G16"/>
    <mergeCell ref="F14:F16"/>
    <mergeCell ref="E14:E16"/>
    <mergeCell ref="O14:O16"/>
    <mergeCell ref="N14:N16"/>
    <mergeCell ref="M14:M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3439-9C46-45BA-B9BC-0539DF2BD4E2}">
  <sheetPr>
    <tabColor rgb="FF92D050"/>
  </sheetPr>
  <dimension ref="A1:K1004"/>
  <sheetViews>
    <sheetView topLeftCell="A25" workbookViewId="0">
      <selection activeCell="C11" sqref="C11"/>
    </sheetView>
  </sheetViews>
  <sheetFormatPr defaultColWidth="11.42578125" defaultRowHeight="14.45"/>
  <cols>
    <col min="1" max="2" width="12.42578125" style="120" customWidth="1"/>
    <col min="3" max="3" width="35.7109375" style="121" customWidth="1"/>
    <col min="4" max="5" width="12.7109375" style="120"/>
    <col min="6" max="6" width="38.42578125" style="121" customWidth="1"/>
    <col min="7" max="7" width="4.85546875" style="121" customWidth="1"/>
    <col min="8" max="8" width="4.28515625" style="121" customWidth="1"/>
    <col min="9" max="10" width="4.28515625" style="120" customWidth="1"/>
    <col min="11" max="11" width="4.28515625" style="121" customWidth="1"/>
    <col min="12" max="12" width="3.5703125" style="121" customWidth="1"/>
    <col min="13" max="16384" width="11.42578125" style="121"/>
  </cols>
  <sheetData>
    <row r="1" spans="1:11">
      <c r="A1" s="415" t="s">
        <v>155</v>
      </c>
      <c r="B1" s="416"/>
      <c r="C1" s="416"/>
      <c r="D1" s="416"/>
      <c r="E1" s="416"/>
      <c r="F1" s="417"/>
    </row>
    <row r="2" spans="1:11">
      <c r="A2" s="412" t="s">
        <v>156</v>
      </c>
      <c r="B2" s="413"/>
      <c r="C2" s="413"/>
      <c r="D2" s="413"/>
      <c r="E2" s="413"/>
      <c r="F2" s="414"/>
    </row>
    <row r="3" spans="1:11">
      <c r="A3" s="128" t="s">
        <v>1</v>
      </c>
      <c r="B3" s="129" t="s">
        <v>2</v>
      </c>
      <c r="C3" s="129" t="s">
        <v>3</v>
      </c>
      <c r="D3" s="129" t="s">
        <v>4</v>
      </c>
      <c r="E3" s="129" t="s">
        <v>5</v>
      </c>
      <c r="F3" s="129" t="s">
        <v>6</v>
      </c>
      <c r="G3" s="130"/>
      <c r="H3" s="120" t="s">
        <v>172</v>
      </c>
      <c r="I3" s="120">
        <f>COUNTIF($A$4:$A$75,H3)</f>
        <v>5</v>
      </c>
      <c r="J3" s="120" t="s">
        <v>181</v>
      </c>
      <c r="K3" s="120">
        <f>COUNTIF($A$4:$A$75,J3)</f>
        <v>4</v>
      </c>
    </row>
    <row r="4" spans="1:11">
      <c r="A4" s="138" t="s">
        <v>172</v>
      </c>
      <c r="B4" s="139">
        <v>8988886</v>
      </c>
      <c r="C4" s="140" t="s">
        <v>206</v>
      </c>
      <c r="D4" s="144">
        <v>1105926841</v>
      </c>
      <c r="E4" s="144">
        <v>3160504787</v>
      </c>
      <c r="F4" s="141" t="s">
        <v>207</v>
      </c>
      <c r="H4" s="120" t="s">
        <v>180</v>
      </c>
      <c r="I4" s="120">
        <f t="shared" ref="I4:K11" si="0">COUNTIF($A$4:$A$75,H4)</f>
        <v>5</v>
      </c>
      <c r="J4" s="120" t="s">
        <v>189</v>
      </c>
      <c r="K4" s="120">
        <f t="shared" si="0"/>
        <v>4</v>
      </c>
    </row>
    <row r="5" spans="1:11">
      <c r="A5" s="138" t="s">
        <v>172</v>
      </c>
      <c r="B5" s="139">
        <v>8987855</v>
      </c>
      <c r="C5" s="140" t="s">
        <v>208</v>
      </c>
      <c r="D5" s="144">
        <v>1043126875</v>
      </c>
      <c r="E5" s="144">
        <v>5562644</v>
      </c>
      <c r="F5" s="141" t="s">
        <v>209</v>
      </c>
      <c r="H5" s="120" t="s">
        <v>179</v>
      </c>
      <c r="I5" s="120">
        <f t="shared" si="0"/>
        <v>4</v>
      </c>
      <c r="J5" s="120" t="s">
        <v>188</v>
      </c>
      <c r="K5" s="120">
        <f t="shared" si="0"/>
        <v>4</v>
      </c>
    </row>
    <row r="6" spans="1:11">
      <c r="A6" s="138" t="s">
        <v>172</v>
      </c>
      <c r="B6" s="139">
        <v>8967392</v>
      </c>
      <c r="C6" s="140" t="s">
        <v>210</v>
      </c>
      <c r="D6" s="144">
        <v>1059234766</v>
      </c>
      <c r="E6" s="144">
        <v>3152838143</v>
      </c>
      <c r="F6" s="141" t="s">
        <v>211</v>
      </c>
      <c r="H6" s="120" t="s">
        <v>178</v>
      </c>
      <c r="I6" s="120">
        <f t="shared" si="0"/>
        <v>4</v>
      </c>
      <c r="J6" s="120" t="s">
        <v>187</v>
      </c>
      <c r="K6" s="120">
        <f t="shared" si="0"/>
        <v>4</v>
      </c>
    </row>
    <row r="7" spans="1:11">
      <c r="A7" s="138" t="s">
        <v>172</v>
      </c>
      <c r="B7" s="139">
        <v>8975088</v>
      </c>
      <c r="C7" s="140" t="s">
        <v>212</v>
      </c>
      <c r="D7" s="144">
        <v>1110286322</v>
      </c>
      <c r="E7" s="144">
        <v>3428384</v>
      </c>
      <c r="F7" s="141" t="s">
        <v>213</v>
      </c>
      <c r="G7" s="125"/>
      <c r="H7" s="120" t="s">
        <v>177</v>
      </c>
      <c r="I7" s="120">
        <f t="shared" si="0"/>
        <v>4</v>
      </c>
      <c r="J7" s="120" t="s">
        <v>186</v>
      </c>
      <c r="K7" s="120">
        <f t="shared" si="0"/>
        <v>4</v>
      </c>
    </row>
    <row r="8" spans="1:11">
      <c r="A8" s="138" t="s">
        <v>172</v>
      </c>
      <c r="B8" s="139">
        <v>8966365</v>
      </c>
      <c r="C8" s="140" t="s">
        <v>214</v>
      </c>
      <c r="D8" s="144">
        <v>1005892469</v>
      </c>
      <c r="E8" s="144">
        <v>3138029599</v>
      </c>
      <c r="F8" s="141" t="s">
        <v>215</v>
      </c>
      <c r="H8" s="120" t="s">
        <v>176</v>
      </c>
      <c r="I8" s="120">
        <f t="shared" si="0"/>
        <v>4</v>
      </c>
      <c r="J8" s="120" t="s">
        <v>185</v>
      </c>
      <c r="K8" s="120">
        <f t="shared" si="0"/>
        <v>4</v>
      </c>
    </row>
    <row r="9" spans="1:11">
      <c r="A9" s="138" t="s">
        <v>180</v>
      </c>
      <c r="B9" s="139">
        <v>8990010</v>
      </c>
      <c r="C9" s="140" t="s">
        <v>216</v>
      </c>
      <c r="D9" s="144">
        <v>1107841297</v>
      </c>
      <c r="E9" s="144">
        <v>3155581066</v>
      </c>
      <c r="F9" s="141" t="s">
        <v>217</v>
      </c>
      <c r="H9" s="120" t="s">
        <v>175</v>
      </c>
      <c r="I9" s="120">
        <f t="shared" si="0"/>
        <v>4</v>
      </c>
      <c r="J9" s="120" t="s">
        <v>184</v>
      </c>
      <c r="K9" s="120">
        <f t="shared" si="0"/>
        <v>4</v>
      </c>
    </row>
    <row r="10" spans="1:11">
      <c r="A10" s="138" t="s">
        <v>180</v>
      </c>
      <c r="B10" s="142">
        <v>8984344</v>
      </c>
      <c r="C10" s="143" t="s">
        <v>218</v>
      </c>
      <c r="D10" s="144">
        <v>1010149500</v>
      </c>
      <c r="E10" s="144">
        <v>3105117731</v>
      </c>
      <c r="F10" s="141" t="s">
        <v>219</v>
      </c>
      <c r="H10" s="120" t="s">
        <v>174</v>
      </c>
      <c r="I10" s="120">
        <f t="shared" si="0"/>
        <v>4</v>
      </c>
      <c r="J10" s="120" t="s">
        <v>183</v>
      </c>
      <c r="K10" s="120">
        <f t="shared" si="0"/>
        <v>3</v>
      </c>
    </row>
    <row r="11" spans="1:11">
      <c r="A11" s="138" t="s">
        <v>180</v>
      </c>
      <c r="B11" s="139">
        <v>8989980</v>
      </c>
      <c r="C11" s="140" t="s">
        <v>220</v>
      </c>
      <c r="D11" s="144">
        <v>1105363190</v>
      </c>
      <c r="E11" s="144">
        <v>3102186700</v>
      </c>
      <c r="F11" s="141" t="s">
        <v>221</v>
      </c>
      <c r="H11" s="120" t="s">
        <v>173</v>
      </c>
      <c r="I11" s="120">
        <f t="shared" si="0"/>
        <v>4</v>
      </c>
      <c r="J11" s="120" t="s">
        <v>182</v>
      </c>
      <c r="K11" s="120">
        <f t="shared" si="0"/>
        <v>3</v>
      </c>
    </row>
    <row r="12" spans="1:11">
      <c r="A12" s="138" t="s">
        <v>180</v>
      </c>
      <c r="B12" s="139">
        <v>8977365</v>
      </c>
      <c r="C12" s="140" t="s">
        <v>222</v>
      </c>
      <c r="D12" s="144">
        <v>1006107064</v>
      </c>
      <c r="E12" s="144">
        <v>3206893242</v>
      </c>
      <c r="F12" s="141" t="s">
        <v>223</v>
      </c>
      <c r="I12" s="120">
        <f>SUM(I3:I11)</f>
        <v>38</v>
      </c>
      <c r="K12" s="120">
        <f>SUM(K3:K11)</f>
        <v>34</v>
      </c>
    </row>
    <row r="13" spans="1:11">
      <c r="A13" s="138" t="s">
        <v>180</v>
      </c>
      <c r="B13" s="139">
        <v>8977181</v>
      </c>
      <c r="C13" s="140" t="s">
        <v>224</v>
      </c>
      <c r="D13" s="144">
        <v>1110364727</v>
      </c>
      <c r="E13" s="144">
        <v>3126693633</v>
      </c>
      <c r="F13" s="141" t="s">
        <v>225</v>
      </c>
    </row>
    <row r="14" spans="1:11">
      <c r="A14" s="138" t="s">
        <v>179</v>
      </c>
      <c r="B14" s="139">
        <v>8976424</v>
      </c>
      <c r="C14" s="140" t="s">
        <v>226</v>
      </c>
      <c r="D14" s="144">
        <v>1110366738</v>
      </c>
      <c r="E14" s="144">
        <v>3881873</v>
      </c>
      <c r="F14" s="141" t="s">
        <v>227</v>
      </c>
      <c r="J14" s="120">
        <f>I12+K12</f>
        <v>72</v>
      </c>
    </row>
    <row r="15" spans="1:11">
      <c r="A15" s="138" t="s">
        <v>179</v>
      </c>
      <c r="B15" s="139">
        <v>8975708</v>
      </c>
      <c r="C15" s="140" t="s">
        <v>228</v>
      </c>
      <c r="D15" s="144">
        <v>1108641071</v>
      </c>
      <c r="E15" s="144">
        <v>3386091</v>
      </c>
      <c r="F15" s="141" t="s">
        <v>229</v>
      </c>
      <c r="H15" s="121" t="s">
        <v>230</v>
      </c>
    </row>
    <row r="16" spans="1:11">
      <c r="A16" s="138" t="s">
        <v>179</v>
      </c>
      <c r="B16" s="139">
        <v>8956469</v>
      </c>
      <c r="C16" s="140" t="s">
        <v>231</v>
      </c>
      <c r="D16" s="144">
        <v>1109540487</v>
      </c>
      <c r="E16" s="144">
        <v>4836979</v>
      </c>
      <c r="F16" s="141" t="s">
        <v>232</v>
      </c>
    </row>
    <row r="17" spans="1:6">
      <c r="A17" s="138" t="s">
        <v>179</v>
      </c>
      <c r="B17" s="142">
        <v>8987998</v>
      </c>
      <c r="C17" s="143" t="s">
        <v>233</v>
      </c>
      <c r="D17" s="144">
        <v>1105366998</v>
      </c>
      <c r="E17" s="144">
        <v>3156233705</v>
      </c>
      <c r="F17" s="141" t="s">
        <v>234</v>
      </c>
    </row>
    <row r="18" spans="1:6">
      <c r="A18" s="138" t="s">
        <v>178</v>
      </c>
      <c r="B18" s="142">
        <v>8983785</v>
      </c>
      <c r="C18" s="143" t="s">
        <v>235</v>
      </c>
      <c r="D18" s="144">
        <v>1105361711</v>
      </c>
      <c r="E18" s="144">
        <v>3235823056</v>
      </c>
      <c r="F18" s="141" t="s">
        <v>236</v>
      </c>
    </row>
    <row r="19" spans="1:6">
      <c r="A19" s="138" t="s">
        <v>178</v>
      </c>
      <c r="B19" s="142">
        <v>8986836</v>
      </c>
      <c r="C19" s="143" t="s">
        <v>237</v>
      </c>
      <c r="D19" s="144">
        <v>1109186743</v>
      </c>
      <c r="E19" s="144">
        <v>3156249895</v>
      </c>
      <c r="F19" s="141" t="s">
        <v>238</v>
      </c>
    </row>
    <row r="20" spans="1:6">
      <c r="A20" s="138" t="s">
        <v>178</v>
      </c>
      <c r="B20" s="139">
        <v>8977459</v>
      </c>
      <c r="C20" s="140" t="s">
        <v>239</v>
      </c>
      <c r="D20" s="144">
        <v>1110364963</v>
      </c>
      <c r="E20" s="144">
        <v>3701618</v>
      </c>
      <c r="F20" s="141" t="s">
        <v>240</v>
      </c>
    </row>
    <row r="21" spans="1:6">
      <c r="A21" s="138" t="s">
        <v>178</v>
      </c>
      <c r="B21" s="139">
        <v>8981100</v>
      </c>
      <c r="C21" s="140" t="s">
        <v>241</v>
      </c>
      <c r="D21" s="144">
        <v>1117499315</v>
      </c>
      <c r="E21" s="144">
        <v>3162784340</v>
      </c>
      <c r="F21" s="141" t="s">
        <v>242</v>
      </c>
    </row>
    <row r="22" spans="1:6">
      <c r="A22" s="138" t="s">
        <v>177</v>
      </c>
      <c r="B22" s="142">
        <v>8975321</v>
      </c>
      <c r="C22" s="143" t="s">
        <v>243</v>
      </c>
      <c r="D22" s="144">
        <v>1107835562</v>
      </c>
      <c r="E22" s="144">
        <v>3103500246</v>
      </c>
      <c r="F22" s="141" t="s">
        <v>244</v>
      </c>
    </row>
    <row r="23" spans="1:6">
      <c r="A23" s="138" t="s">
        <v>177</v>
      </c>
      <c r="B23" s="139">
        <v>8983554</v>
      </c>
      <c r="C23" s="140" t="s">
        <v>245</v>
      </c>
      <c r="D23" s="144">
        <v>1112157336</v>
      </c>
      <c r="E23" s="144">
        <v>3057462934</v>
      </c>
      <c r="F23" s="141" t="s">
        <v>246</v>
      </c>
    </row>
    <row r="24" spans="1:6">
      <c r="A24" s="138" t="s">
        <v>177</v>
      </c>
      <c r="B24" s="139">
        <v>8979465</v>
      </c>
      <c r="C24" s="140" t="s">
        <v>247</v>
      </c>
      <c r="D24" s="144">
        <v>1110290593</v>
      </c>
      <c r="E24" s="144">
        <v>3173672376</v>
      </c>
      <c r="F24" s="141" t="s">
        <v>248</v>
      </c>
    </row>
    <row r="25" spans="1:6">
      <c r="A25" s="138" t="s">
        <v>177</v>
      </c>
      <c r="B25" s="139">
        <v>8988761</v>
      </c>
      <c r="C25" s="140" t="s">
        <v>249</v>
      </c>
      <c r="D25" s="144">
        <v>1110367352</v>
      </c>
      <c r="E25" s="144">
        <v>6023783938</v>
      </c>
      <c r="F25" s="141" t="s">
        <v>250</v>
      </c>
    </row>
    <row r="26" spans="1:6">
      <c r="A26" s="138" t="s">
        <v>176</v>
      </c>
      <c r="B26" s="139">
        <v>8987327</v>
      </c>
      <c r="C26" s="140" t="s">
        <v>251</v>
      </c>
      <c r="D26" s="144">
        <v>1107843453</v>
      </c>
      <c r="E26" s="144">
        <v>3206777945</v>
      </c>
      <c r="F26" s="141" t="s">
        <v>252</v>
      </c>
    </row>
    <row r="27" spans="1:6">
      <c r="A27" s="138" t="s">
        <v>176</v>
      </c>
      <c r="B27" s="139">
        <v>8989976</v>
      </c>
      <c r="C27" s="140" t="s">
        <v>253</v>
      </c>
      <c r="D27" s="144">
        <v>1112042228</v>
      </c>
      <c r="E27" s="144">
        <v>3172405157</v>
      </c>
      <c r="F27" s="141" t="s">
        <v>254</v>
      </c>
    </row>
    <row r="28" spans="1:6">
      <c r="A28" s="138" t="s">
        <v>176</v>
      </c>
      <c r="B28" s="139">
        <v>8976654</v>
      </c>
      <c r="C28" s="140" t="s">
        <v>255</v>
      </c>
      <c r="D28" s="144">
        <v>1007580072</v>
      </c>
      <c r="E28" s="144">
        <v>3216392291</v>
      </c>
      <c r="F28" s="141" t="s">
        <v>256</v>
      </c>
    </row>
    <row r="29" spans="1:6">
      <c r="A29" s="138" t="s">
        <v>176</v>
      </c>
      <c r="B29" s="142">
        <v>8987238</v>
      </c>
      <c r="C29" s="143" t="s">
        <v>257</v>
      </c>
      <c r="D29" s="144">
        <v>1115064601</v>
      </c>
      <c r="E29" s="144">
        <v>3165331663</v>
      </c>
      <c r="F29" s="141" t="s">
        <v>258</v>
      </c>
    </row>
    <row r="30" spans="1:6">
      <c r="A30" s="138" t="s">
        <v>175</v>
      </c>
      <c r="B30" s="139">
        <v>8988271</v>
      </c>
      <c r="C30" s="140" t="s">
        <v>259</v>
      </c>
      <c r="D30" s="144">
        <v>1105365932</v>
      </c>
      <c r="E30" s="144">
        <v>3108663473</v>
      </c>
      <c r="F30" s="141" t="s">
        <v>260</v>
      </c>
    </row>
    <row r="31" spans="1:6">
      <c r="A31" s="138" t="s">
        <v>175</v>
      </c>
      <c r="B31" s="139">
        <v>8986975</v>
      </c>
      <c r="C31" s="140" t="s">
        <v>261</v>
      </c>
      <c r="D31" s="144">
        <v>1107843779</v>
      </c>
      <c r="E31" s="144">
        <v>6023971792</v>
      </c>
      <c r="F31" s="141" t="s">
        <v>262</v>
      </c>
    </row>
    <row r="32" spans="1:6">
      <c r="A32" s="138" t="s">
        <v>175</v>
      </c>
      <c r="B32" s="139">
        <v>8980015</v>
      </c>
      <c r="C32" s="140" t="s">
        <v>263</v>
      </c>
      <c r="D32" s="144">
        <v>1126448133</v>
      </c>
      <c r="E32" s="144">
        <v>3157184518</v>
      </c>
      <c r="F32" s="141" t="s">
        <v>264</v>
      </c>
    </row>
    <row r="33" spans="1:6">
      <c r="A33" s="138" t="s">
        <v>175</v>
      </c>
      <c r="B33" s="139">
        <v>8962787</v>
      </c>
      <c r="C33" s="140" t="s">
        <v>265</v>
      </c>
      <c r="D33" s="144">
        <v>1003380358</v>
      </c>
      <c r="E33" s="144">
        <v>5822674</v>
      </c>
      <c r="F33" s="141" t="s">
        <v>266</v>
      </c>
    </row>
    <row r="34" spans="1:6">
      <c r="A34" s="138" t="s">
        <v>174</v>
      </c>
      <c r="B34" s="142">
        <v>8987077</v>
      </c>
      <c r="C34" s="143" t="s">
        <v>267</v>
      </c>
      <c r="D34" s="144">
        <v>1110363478</v>
      </c>
      <c r="E34" s="144">
        <v>3104139106</v>
      </c>
      <c r="F34" s="141" t="s">
        <v>268</v>
      </c>
    </row>
    <row r="35" spans="1:6">
      <c r="A35" s="138" t="s">
        <v>174</v>
      </c>
      <c r="B35" s="142">
        <v>8987051</v>
      </c>
      <c r="C35" s="143" t="s">
        <v>269</v>
      </c>
      <c r="D35" s="144">
        <v>1105361073</v>
      </c>
      <c r="E35" s="144">
        <v>3168210805</v>
      </c>
      <c r="F35" s="141" t="s">
        <v>270</v>
      </c>
    </row>
    <row r="36" spans="1:6">
      <c r="A36" s="138" t="s">
        <v>174</v>
      </c>
      <c r="B36" s="139">
        <v>8974921</v>
      </c>
      <c r="C36" s="140" t="s">
        <v>271</v>
      </c>
      <c r="D36" s="144">
        <v>1065583807</v>
      </c>
      <c r="E36" s="144">
        <v>5831469</v>
      </c>
      <c r="F36" s="141" t="s">
        <v>272</v>
      </c>
    </row>
    <row r="37" spans="1:6">
      <c r="A37" s="138" t="s">
        <v>174</v>
      </c>
      <c r="B37" s="139">
        <v>8960690</v>
      </c>
      <c r="C37" s="140" t="s">
        <v>273</v>
      </c>
      <c r="D37" s="144">
        <v>1006037877</v>
      </c>
      <c r="E37" s="144">
        <v>3194792986</v>
      </c>
      <c r="F37" s="141" t="s">
        <v>274</v>
      </c>
    </row>
    <row r="38" spans="1:6">
      <c r="A38" s="138" t="s">
        <v>173</v>
      </c>
      <c r="B38" s="139">
        <v>8980120</v>
      </c>
      <c r="C38" s="140" t="s">
        <v>275</v>
      </c>
      <c r="D38" s="144">
        <v>1126664438</v>
      </c>
      <c r="E38" s="144">
        <v>2977418980</v>
      </c>
      <c r="F38" s="141" t="s">
        <v>276</v>
      </c>
    </row>
    <row r="39" spans="1:6">
      <c r="A39" s="138" t="s">
        <v>173</v>
      </c>
      <c r="B39" s="142">
        <v>8975825</v>
      </c>
      <c r="C39" s="143" t="s">
        <v>277</v>
      </c>
      <c r="D39" s="144">
        <v>1010014964</v>
      </c>
      <c r="E39" s="144">
        <v>3219408002</v>
      </c>
      <c r="F39" s="141" t="s">
        <v>278</v>
      </c>
    </row>
    <row r="40" spans="1:6">
      <c r="A40" s="138" t="s">
        <v>173</v>
      </c>
      <c r="B40" s="142">
        <v>8985497</v>
      </c>
      <c r="C40" s="143" t="s">
        <v>279</v>
      </c>
      <c r="D40" s="144">
        <v>1105362537</v>
      </c>
      <c r="E40" s="144">
        <v>3150488201</v>
      </c>
      <c r="F40" s="141" t="s">
        <v>280</v>
      </c>
    </row>
    <row r="41" spans="1:6">
      <c r="A41" s="138" t="s">
        <v>173</v>
      </c>
      <c r="B41" s="139">
        <v>8987631</v>
      </c>
      <c r="C41" s="140" t="s">
        <v>281</v>
      </c>
      <c r="D41" s="144">
        <v>1105363001</v>
      </c>
      <c r="E41" s="144">
        <v>3160445073</v>
      </c>
      <c r="F41" s="141" t="s">
        <v>282</v>
      </c>
    </row>
    <row r="42" spans="1:6">
      <c r="A42" s="126" t="s">
        <v>181</v>
      </c>
      <c r="B42" s="134">
        <v>8985671</v>
      </c>
      <c r="C42" s="135" t="s">
        <v>283</v>
      </c>
      <c r="D42" s="145">
        <v>1105361080</v>
      </c>
      <c r="E42" s="145">
        <v>3183568243</v>
      </c>
      <c r="F42" s="133" t="s">
        <v>284</v>
      </c>
    </row>
    <row r="43" spans="1:6">
      <c r="A43" s="126" t="s">
        <v>181</v>
      </c>
      <c r="B43" s="131">
        <v>8989012</v>
      </c>
      <c r="C43" s="132" t="s">
        <v>285</v>
      </c>
      <c r="D43" s="145">
        <v>1110367139</v>
      </c>
      <c r="E43" s="145">
        <v>6024813504</v>
      </c>
      <c r="F43" s="133" t="s">
        <v>286</v>
      </c>
    </row>
    <row r="44" spans="1:6">
      <c r="A44" s="126" t="s">
        <v>181</v>
      </c>
      <c r="B44" s="131">
        <v>8974021</v>
      </c>
      <c r="C44" s="132" t="s">
        <v>287</v>
      </c>
      <c r="D44" s="145">
        <v>1107839056</v>
      </c>
      <c r="E44" s="145">
        <v>3144702248</v>
      </c>
      <c r="F44" s="133" t="s">
        <v>288</v>
      </c>
    </row>
    <row r="45" spans="1:6">
      <c r="A45" s="126" t="s">
        <v>181</v>
      </c>
      <c r="B45" s="131">
        <v>8972399</v>
      </c>
      <c r="C45" s="132" t="s">
        <v>289</v>
      </c>
      <c r="D45" s="145">
        <v>1081274176</v>
      </c>
      <c r="E45" s="145">
        <v>3145428386</v>
      </c>
      <c r="F45" s="133" t="s">
        <v>290</v>
      </c>
    </row>
    <row r="46" spans="1:6">
      <c r="A46" s="126" t="s">
        <v>189</v>
      </c>
      <c r="B46" s="131">
        <v>8987499</v>
      </c>
      <c r="C46" s="132" t="s">
        <v>291</v>
      </c>
      <c r="D46" s="145">
        <v>1105363171</v>
      </c>
      <c r="E46" s="145">
        <v>3128703853</v>
      </c>
      <c r="F46" s="133" t="s">
        <v>292</v>
      </c>
    </row>
    <row r="47" spans="1:6">
      <c r="A47" s="126" t="s">
        <v>189</v>
      </c>
      <c r="B47" s="131">
        <v>8986216</v>
      </c>
      <c r="C47" s="132" t="s">
        <v>293</v>
      </c>
      <c r="D47" s="145">
        <v>1105361997</v>
      </c>
      <c r="E47" s="145">
        <v>6023105956</v>
      </c>
      <c r="F47" s="133" t="s">
        <v>294</v>
      </c>
    </row>
    <row r="48" spans="1:6">
      <c r="A48" s="126" t="s">
        <v>189</v>
      </c>
      <c r="B48" s="131">
        <v>8931917</v>
      </c>
      <c r="C48" s="132" t="s">
        <v>295</v>
      </c>
      <c r="D48" s="145">
        <v>1107512780</v>
      </c>
      <c r="E48" s="145">
        <v>3188018082</v>
      </c>
      <c r="F48" s="133" t="s">
        <v>296</v>
      </c>
    </row>
    <row r="49" spans="1:6">
      <c r="A49" s="126" t="s">
        <v>189</v>
      </c>
      <c r="B49" s="131">
        <v>8986978</v>
      </c>
      <c r="C49" s="132" t="s">
        <v>297</v>
      </c>
      <c r="D49" s="145">
        <v>1117016476</v>
      </c>
      <c r="E49" s="145">
        <v>3108136797</v>
      </c>
      <c r="F49" s="133" t="s">
        <v>298</v>
      </c>
    </row>
    <row r="50" spans="1:6">
      <c r="A50" s="126" t="s">
        <v>188</v>
      </c>
      <c r="B50" s="131">
        <v>8990509</v>
      </c>
      <c r="C50" s="132" t="s">
        <v>299</v>
      </c>
      <c r="D50" s="145">
        <v>1080691434</v>
      </c>
      <c r="E50" s="145">
        <v>6027334409</v>
      </c>
      <c r="F50" s="133" t="s">
        <v>300</v>
      </c>
    </row>
    <row r="51" spans="1:6">
      <c r="A51" s="126" t="s">
        <v>188</v>
      </c>
      <c r="B51" s="131">
        <v>8987955</v>
      </c>
      <c r="C51" s="132" t="s">
        <v>301</v>
      </c>
      <c r="D51" s="145">
        <v>1108642428</v>
      </c>
      <c r="E51" s="145">
        <v>6023901701</v>
      </c>
      <c r="F51" s="133" t="s">
        <v>302</v>
      </c>
    </row>
    <row r="52" spans="1:6">
      <c r="A52" s="126" t="s">
        <v>188</v>
      </c>
      <c r="B52" s="131">
        <v>8987449</v>
      </c>
      <c r="C52" s="132" t="s">
        <v>303</v>
      </c>
      <c r="D52" s="145">
        <v>1006110470</v>
      </c>
      <c r="E52" s="145">
        <v>3759086</v>
      </c>
      <c r="F52" s="133" t="s">
        <v>304</v>
      </c>
    </row>
    <row r="53" spans="1:6">
      <c r="A53" s="126" t="s">
        <v>188</v>
      </c>
      <c r="B53" s="131">
        <v>8970399</v>
      </c>
      <c r="C53" s="132" t="s">
        <v>305</v>
      </c>
      <c r="D53" s="145">
        <v>1113700618</v>
      </c>
      <c r="E53" s="145">
        <v>3178982730</v>
      </c>
      <c r="F53" s="133" t="s">
        <v>306</v>
      </c>
    </row>
    <row r="54" spans="1:6">
      <c r="A54" s="126" t="s">
        <v>187</v>
      </c>
      <c r="B54" s="131">
        <v>8986083</v>
      </c>
      <c r="C54" s="132" t="s">
        <v>307</v>
      </c>
      <c r="D54" s="145">
        <v>1107839290</v>
      </c>
      <c r="E54" s="145">
        <v>3113535993</v>
      </c>
      <c r="F54" s="133" t="s">
        <v>308</v>
      </c>
    </row>
    <row r="55" spans="1:6">
      <c r="A55" s="126" t="s">
        <v>187</v>
      </c>
      <c r="B55" s="131">
        <v>8980956</v>
      </c>
      <c r="C55" s="132" t="s">
        <v>309</v>
      </c>
      <c r="D55" s="145">
        <v>1113859703</v>
      </c>
      <c r="E55" s="145">
        <v>3168360978</v>
      </c>
      <c r="F55" s="133" t="s">
        <v>310</v>
      </c>
    </row>
    <row r="56" spans="1:6">
      <c r="A56" s="126" t="s">
        <v>187</v>
      </c>
      <c r="B56" s="131">
        <v>8987594</v>
      </c>
      <c r="C56" s="132" t="s">
        <v>311</v>
      </c>
      <c r="D56" s="145">
        <v>1111479995</v>
      </c>
      <c r="E56" s="145">
        <v>3135765629</v>
      </c>
      <c r="F56" s="133" t="s">
        <v>312</v>
      </c>
    </row>
    <row r="57" spans="1:6">
      <c r="A57" s="126" t="s">
        <v>187</v>
      </c>
      <c r="B57" s="131">
        <v>8990533</v>
      </c>
      <c r="C57" s="132" t="s">
        <v>313</v>
      </c>
      <c r="D57" s="145">
        <v>1126258171</v>
      </c>
      <c r="E57" s="145">
        <v>3017647472</v>
      </c>
      <c r="F57" s="133" t="s">
        <v>314</v>
      </c>
    </row>
    <row r="58" spans="1:6">
      <c r="A58" s="126" t="s">
        <v>186</v>
      </c>
      <c r="B58" s="131">
        <v>8981477</v>
      </c>
      <c r="C58" s="132" t="s">
        <v>315</v>
      </c>
      <c r="D58" s="145">
        <v>1080047730</v>
      </c>
      <c r="E58" s="145">
        <v>6027205633</v>
      </c>
      <c r="F58" s="133" t="s">
        <v>316</v>
      </c>
    </row>
    <row r="59" spans="1:6">
      <c r="A59" s="126" t="s">
        <v>186</v>
      </c>
      <c r="B59" s="131">
        <v>8973567</v>
      </c>
      <c r="C59" s="132" t="s">
        <v>317</v>
      </c>
      <c r="D59" s="145">
        <v>1005891962</v>
      </c>
      <c r="E59" s="145">
        <v>3126055711</v>
      </c>
      <c r="F59" s="133" t="s">
        <v>318</v>
      </c>
    </row>
    <row r="60" spans="1:6">
      <c r="A60" s="126" t="s">
        <v>186</v>
      </c>
      <c r="B60" s="131">
        <v>8987462</v>
      </c>
      <c r="C60" s="132" t="s">
        <v>319</v>
      </c>
      <c r="D60" s="145">
        <v>1107041941</v>
      </c>
      <c r="E60" s="145">
        <v>3138469597</v>
      </c>
      <c r="F60" s="133" t="s">
        <v>320</v>
      </c>
    </row>
    <row r="61" spans="1:6">
      <c r="A61" s="126" t="s">
        <v>186</v>
      </c>
      <c r="B61" s="131">
        <v>8983510</v>
      </c>
      <c r="C61" s="132" t="s">
        <v>321</v>
      </c>
      <c r="D61" s="145">
        <v>1143859457</v>
      </c>
      <c r="E61" s="145">
        <v>31763701</v>
      </c>
      <c r="F61" s="133" t="s">
        <v>322</v>
      </c>
    </row>
    <row r="62" spans="1:6">
      <c r="A62" s="126" t="s">
        <v>185</v>
      </c>
      <c r="B62" s="131">
        <v>8973751</v>
      </c>
      <c r="C62" s="132" t="s">
        <v>323</v>
      </c>
      <c r="D62" s="145">
        <v>1111540756</v>
      </c>
      <c r="E62" s="145">
        <v>3425270</v>
      </c>
      <c r="F62" s="133" t="s">
        <v>324</v>
      </c>
    </row>
    <row r="63" spans="1:6">
      <c r="A63" s="126" t="s">
        <v>185</v>
      </c>
      <c r="B63" s="131">
        <v>8987715</v>
      </c>
      <c r="C63" s="132" t="s">
        <v>325</v>
      </c>
      <c r="D63" s="145">
        <v>1108642940</v>
      </c>
      <c r="E63" s="145">
        <v>3761626</v>
      </c>
      <c r="F63" s="133" t="s">
        <v>326</v>
      </c>
    </row>
    <row r="64" spans="1:6">
      <c r="A64" s="126" t="s">
        <v>185</v>
      </c>
      <c r="B64" s="131">
        <v>8979455</v>
      </c>
      <c r="C64" s="132" t="s">
        <v>327</v>
      </c>
      <c r="D64" s="145">
        <v>1091969211</v>
      </c>
      <c r="E64" s="145">
        <v>5871682</v>
      </c>
      <c r="F64" s="133" t="s">
        <v>328</v>
      </c>
    </row>
    <row r="65" spans="1:6">
      <c r="A65" s="126" t="s">
        <v>185</v>
      </c>
      <c r="B65" s="131">
        <v>8986552</v>
      </c>
      <c r="C65" s="132" t="s">
        <v>329</v>
      </c>
      <c r="D65" s="145">
        <v>1125248127</v>
      </c>
      <c r="E65" s="145">
        <v>3165607144</v>
      </c>
      <c r="F65" s="133" t="s">
        <v>330</v>
      </c>
    </row>
    <row r="66" spans="1:6">
      <c r="A66" s="126" t="s">
        <v>184</v>
      </c>
      <c r="B66" s="131">
        <v>8990200</v>
      </c>
      <c r="C66" s="132" t="s">
        <v>331</v>
      </c>
      <c r="D66" s="145">
        <v>1110367943</v>
      </c>
      <c r="E66" s="145">
        <v>3330726</v>
      </c>
      <c r="F66" s="133" t="s">
        <v>332</v>
      </c>
    </row>
    <row r="67" spans="1:6">
      <c r="A67" s="126" t="s">
        <v>184</v>
      </c>
      <c r="B67" s="131">
        <v>8988317</v>
      </c>
      <c r="C67" s="132" t="s">
        <v>333</v>
      </c>
      <c r="D67" s="145">
        <v>1113979757</v>
      </c>
      <c r="E67" s="145">
        <v>3246218026</v>
      </c>
      <c r="F67" s="133" t="s">
        <v>334</v>
      </c>
    </row>
    <row r="68" spans="1:6">
      <c r="A68" s="126" t="s">
        <v>184</v>
      </c>
      <c r="B68" s="131">
        <v>8989720</v>
      </c>
      <c r="C68" s="132" t="s">
        <v>335</v>
      </c>
      <c r="D68" s="145">
        <v>1105366415</v>
      </c>
      <c r="E68" s="145">
        <v>3815200</v>
      </c>
      <c r="F68" s="133" t="s">
        <v>336</v>
      </c>
    </row>
    <row r="69" spans="1:6">
      <c r="A69" s="126" t="s">
        <v>184</v>
      </c>
      <c r="B69" s="131">
        <v>8932699</v>
      </c>
      <c r="C69" s="132" t="s">
        <v>337</v>
      </c>
      <c r="D69" s="145">
        <v>1110367346</v>
      </c>
      <c r="E69" s="145">
        <v>3218200</v>
      </c>
      <c r="F69" s="133" t="s">
        <v>338</v>
      </c>
    </row>
    <row r="70" spans="1:6">
      <c r="A70" s="126" t="s">
        <v>183</v>
      </c>
      <c r="B70" s="131">
        <v>4787728</v>
      </c>
      <c r="C70" s="132" t="s">
        <v>339</v>
      </c>
      <c r="D70" s="145">
        <v>1110286803</v>
      </c>
      <c r="E70" s="145">
        <v>3041360252</v>
      </c>
      <c r="F70" s="133" t="s">
        <v>340</v>
      </c>
    </row>
    <row r="71" spans="1:6">
      <c r="A71" s="126" t="s">
        <v>183</v>
      </c>
      <c r="B71" s="131">
        <v>8980887</v>
      </c>
      <c r="C71" s="132" t="s">
        <v>341</v>
      </c>
      <c r="D71" s="145">
        <v>1087786741</v>
      </c>
      <c r="E71" s="145">
        <v>6023479622</v>
      </c>
      <c r="F71" s="133" t="s">
        <v>342</v>
      </c>
    </row>
    <row r="72" spans="1:6">
      <c r="A72" s="126" t="s">
        <v>183</v>
      </c>
      <c r="B72" s="131">
        <v>8961950</v>
      </c>
      <c r="C72" s="132" t="s">
        <v>343</v>
      </c>
      <c r="D72" s="145">
        <v>1000077167</v>
      </c>
      <c r="E72" s="145">
        <v>3124673326</v>
      </c>
      <c r="F72" s="133" t="s">
        <v>344</v>
      </c>
    </row>
    <row r="73" spans="1:6">
      <c r="A73" s="126" t="s">
        <v>182</v>
      </c>
      <c r="B73" s="131">
        <v>8962474</v>
      </c>
      <c r="C73" s="132" t="s">
        <v>345</v>
      </c>
      <c r="D73" s="145">
        <v>1000253352</v>
      </c>
      <c r="E73" s="145">
        <v>3467445</v>
      </c>
      <c r="F73" s="133" t="s">
        <v>346</v>
      </c>
    </row>
    <row r="74" spans="1:6">
      <c r="A74" s="126" t="s">
        <v>182</v>
      </c>
      <c r="B74" s="131">
        <v>8990161</v>
      </c>
      <c r="C74" s="132" t="s">
        <v>347</v>
      </c>
      <c r="D74" s="145">
        <v>1110367161</v>
      </c>
      <c r="E74" s="145">
        <v>3165009752</v>
      </c>
      <c r="F74" s="133" t="s">
        <v>348</v>
      </c>
    </row>
    <row r="75" spans="1:6">
      <c r="A75" s="126" t="s">
        <v>182</v>
      </c>
      <c r="B75" s="131">
        <v>8972887</v>
      </c>
      <c r="C75" s="132" t="s">
        <v>349</v>
      </c>
      <c r="D75" s="145">
        <v>1123621323</v>
      </c>
      <c r="E75" s="145">
        <v>3134504833</v>
      </c>
      <c r="F75" s="133" t="s">
        <v>350</v>
      </c>
    </row>
    <row r="76" spans="1:6">
      <c r="A76" s="127"/>
      <c r="B76" s="127"/>
    </row>
    <row r="77" spans="1:6">
      <c r="A77" s="127"/>
      <c r="B77" s="127"/>
    </row>
    <row r="78" spans="1:6">
      <c r="A78" s="127"/>
      <c r="B78" s="127"/>
    </row>
    <row r="79" spans="1:6">
      <c r="A79" s="127"/>
      <c r="B79" s="127"/>
    </row>
    <row r="80" spans="1:6">
      <c r="A80" s="127"/>
      <c r="B80" s="127"/>
    </row>
    <row r="81" spans="1:2">
      <c r="A81" s="127"/>
      <c r="B81" s="127"/>
    </row>
    <row r="82" spans="1:2">
      <c r="A82" s="127"/>
      <c r="B82" s="127"/>
    </row>
    <row r="83" spans="1:2">
      <c r="A83" s="127"/>
      <c r="B83" s="127"/>
    </row>
    <row r="84" spans="1:2">
      <c r="A84" s="127"/>
      <c r="B84" s="127"/>
    </row>
    <row r="85" spans="1:2">
      <c r="A85" s="127"/>
      <c r="B85" s="127"/>
    </row>
    <row r="86" spans="1:2">
      <c r="A86" s="127"/>
      <c r="B86" s="127"/>
    </row>
    <row r="87" spans="1:2">
      <c r="A87" s="127"/>
      <c r="B87" s="127"/>
    </row>
    <row r="88" spans="1:2">
      <c r="A88" s="127"/>
      <c r="B88" s="127"/>
    </row>
    <row r="89" spans="1:2">
      <c r="A89" s="127"/>
      <c r="B89" s="127"/>
    </row>
    <row r="90" spans="1:2">
      <c r="A90" s="127"/>
      <c r="B90" s="127"/>
    </row>
    <row r="91" spans="1:2">
      <c r="A91" s="127"/>
      <c r="B91" s="127"/>
    </row>
    <row r="92" spans="1:2">
      <c r="A92" s="127"/>
      <c r="B92" s="127"/>
    </row>
    <row r="93" spans="1:2">
      <c r="A93" s="127"/>
      <c r="B93" s="127"/>
    </row>
    <row r="94" spans="1:2">
      <c r="A94" s="127"/>
      <c r="B94" s="127"/>
    </row>
    <row r="95" spans="1:2">
      <c r="A95" s="127"/>
      <c r="B95" s="127"/>
    </row>
    <row r="96" spans="1:2">
      <c r="A96" s="127"/>
      <c r="B96" s="127"/>
    </row>
    <row r="97" spans="1:2">
      <c r="A97" s="127"/>
      <c r="B97" s="127"/>
    </row>
    <row r="98" spans="1:2">
      <c r="A98" s="127"/>
      <c r="B98" s="127"/>
    </row>
    <row r="99" spans="1:2">
      <c r="A99" s="127"/>
      <c r="B99" s="127"/>
    </row>
    <row r="100" spans="1:2">
      <c r="A100" s="127"/>
      <c r="B100" s="127"/>
    </row>
    <row r="101" spans="1:2">
      <c r="A101" s="127"/>
      <c r="B101" s="127"/>
    </row>
    <row r="102" spans="1:2">
      <c r="A102" s="127"/>
      <c r="B102" s="127"/>
    </row>
    <row r="103" spans="1:2">
      <c r="A103" s="127"/>
      <c r="B103" s="127"/>
    </row>
    <row r="104" spans="1:2">
      <c r="A104" s="127"/>
      <c r="B104" s="127"/>
    </row>
    <row r="105" spans="1:2">
      <c r="A105" s="127"/>
      <c r="B105" s="127"/>
    </row>
    <row r="106" spans="1:2">
      <c r="A106" s="127"/>
      <c r="B106" s="127"/>
    </row>
    <row r="107" spans="1:2">
      <c r="A107" s="127"/>
      <c r="B107" s="127"/>
    </row>
    <row r="108" spans="1:2">
      <c r="A108" s="127"/>
      <c r="B108" s="127"/>
    </row>
    <row r="109" spans="1:2">
      <c r="A109" s="127"/>
      <c r="B109" s="127"/>
    </row>
    <row r="110" spans="1:2">
      <c r="A110" s="127"/>
      <c r="B110" s="127"/>
    </row>
    <row r="111" spans="1:2">
      <c r="A111" s="127"/>
      <c r="B111" s="127"/>
    </row>
    <row r="112" spans="1:2">
      <c r="A112" s="127"/>
      <c r="B112" s="127"/>
    </row>
    <row r="113" spans="1:2">
      <c r="A113" s="127"/>
      <c r="B113" s="127"/>
    </row>
    <row r="114" spans="1:2">
      <c r="A114" s="127"/>
      <c r="B114" s="127"/>
    </row>
    <row r="115" spans="1:2">
      <c r="A115" s="127"/>
      <c r="B115" s="127"/>
    </row>
    <row r="116" spans="1:2">
      <c r="A116" s="127"/>
      <c r="B116" s="127"/>
    </row>
    <row r="117" spans="1:2">
      <c r="A117" s="127"/>
      <c r="B117" s="127"/>
    </row>
    <row r="118" spans="1:2">
      <c r="A118" s="127"/>
      <c r="B118" s="127"/>
    </row>
    <row r="119" spans="1:2">
      <c r="A119" s="127"/>
      <c r="B119" s="127"/>
    </row>
    <row r="120" spans="1:2">
      <c r="A120" s="127"/>
      <c r="B120" s="127"/>
    </row>
    <row r="121" spans="1:2">
      <c r="A121" s="127"/>
      <c r="B121" s="127"/>
    </row>
    <row r="122" spans="1:2">
      <c r="A122" s="127"/>
      <c r="B122" s="127"/>
    </row>
    <row r="123" spans="1:2">
      <c r="A123" s="127"/>
      <c r="B123" s="127"/>
    </row>
    <row r="124" spans="1:2">
      <c r="A124" s="127"/>
      <c r="B124" s="127"/>
    </row>
    <row r="125" spans="1:2">
      <c r="A125" s="127"/>
      <c r="B125" s="127"/>
    </row>
    <row r="126" spans="1:2">
      <c r="A126" s="127"/>
      <c r="B126" s="127"/>
    </row>
    <row r="127" spans="1:2">
      <c r="A127" s="127"/>
      <c r="B127" s="127"/>
    </row>
    <row r="128" spans="1:2">
      <c r="A128" s="127"/>
      <c r="B128" s="127"/>
    </row>
    <row r="129" spans="1:2">
      <c r="A129" s="127"/>
      <c r="B129" s="127"/>
    </row>
    <row r="130" spans="1:2">
      <c r="A130" s="127"/>
      <c r="B130" s="127"/>
    </row>
    <row r="131" spans="1:2">
      <c r="A131" s="127"/>
      <c r="B131" s="127"/>
    </row>
    <row r="132" spans="1:2">
      <c r="A132" s="127"/>
      <c r="B132" s="127"/>
    </row>
    <row r="133" spans="1:2">
      <c r="A133" s="127"/>
      <c r="B133" s="127"/>
    </row>
    <row r="134" spans="1:2">
      <c r="A134" s="127"/>
      <c r="B134" s="127"/>
    </row>
    <row r="135" spans="1:2">
      <c r="A135" s="127"/>
      <c r="B135" s="127"/>
    </row>
    <row r="136" spans="1:2">
      <c r="A136" s="127"/>
      <c r="B136" s="127"/>
    </row>
    <row r="137" spans="1:2">
      <c r="A137" s="127"/>
      <c r="B137" s="127"/>
    </row>
    <row r="138" spans="1:2">
      <c r="A138" s="127"/>
      <c r="B138" s="127"/>
    </row>
    <row r="139" spans="1:2">
      <c r="A139" s="127"/>
      <c r="B139" s="127"/>
    </row>
    <row r="140" spans="1:2">
      <c r="A140" s="127"/>
      <c r="B140" s="127"/>
    </row>
    <row r="141" spans="1:2">
      <c r="A141" s="127"/>
      <c r="B141" s="127"/>
    </row>
    <row r="142" spans="1:2">
      <c r="A142" s="127"/>
      <c r="B142" s="127"/>
    </row>
    <row r="143" spans="1:2">
      <c r="A143" s="127"/>
      <c r="B143" s="127"/>
    </row>
    <row r="144" spans="1:2">
      <c r="A144" s="127"/>
      <c r="B144" s="127"/>
    </row>
    <row r="145" spans="1:2">
      <c r="A145" s="127"/>
      <c r="B145" s="127"/>
    </row>
    <row r="146" spans="1:2">
      <c r="A146" s="127"/>
      <c r="B146" s="127"/>
    </row>
    <row r="147" spans="1:2">
      <c r="A147" s="127"/>
      <c r="B147" s="127"/>
    </row>
    <row r="148" spans="1:2">
      <c r="A148" s="127"/>
      <c r="B148" s="127"/>
    </row>
    <row r="149" spans="1:2">
      <c r="A149" s="127"/>
      <c r="B149" s="127"/>
    </row>
    <row r="150" spans="1:2">
      <c r="A150" s="127"/>
      <c r="B150" s="127"/>
    </row>
    <row r="151" spans="1:2">
      <c r="A151" s="127"/>
      <c r="B151" s="127"/>
    </row>
    <row r="152" spans="1:2">
      <c r="A152" s="127"/>
      <c r="B152" s="127"/>
    </row>
    <row r="153" spans="1:2">
      <c r="A153" s="127"/>
      <c r="B153" s="127"/>
    </row>
    <row r="154" spans="1:2">
      <c r="A154" s="127"/>
      <c r="B154" s="127"/>
    </row>
    <row r="155" spans="1:2">
      <c r="A155" s="127"/>
      <c r="B155" s="127"/>
    </row>
    <row r="156" spans="1:2">
      <c r="A156" s="127"/>
      <c r="B156" s="127"/>
    </row>
    <row r="157" spans="1:2">
      <c r="A157" s="127"/>
      <c r="B157" s="127"/>
    </row>
    <row r="158" spans="1:2">
      <c r="A158" s="127"/>
      <c r="B158" s="127"/>
    </row>
    <row r="159" spans="1:2">
      <c r="A159" s="127"/>
      <c r="B159" s="127"/>
    </row>
    <row r="160" spans="1:2">
      <c r="A160" s="127"/>
      <c r="B160" s="127"/>
    </row>
    <row r="161" spans="1:2">
      <c r="A161" s="127"/>
      <c r="B161" s="127"/>
    </row>
    <row r="162" spans="1:2">
      <c r="A162" s="127"/>
      <c r="B162" s="127"/>
    </row>
    <row r="163" spans="1:2">
      <c r="A163" s="127"/>
      <c r="B163" s="127"/>
    </row>
    <row r="164" spans="1:2">
      <c r="A164" s="127"/>
      <c r="B164" s="127"/>
    </row>
    <row r="165" spans="1:2">
      <c r="A165" s="127"/>
      <c r="B165" s="127"/>
    </row>
    <row r="166" spans="1:2">
      <c r="A166" s="127"/>
      <c r="B166" s="127"/>
    </row>
    <row r="167" spans="1:2">
      <c r="A167" s="127"/>
      <c r="B167" s="127"/>
    </row>
    <row r="168" spans="1:2">
      <c r="A168" s="127"/>
      <c r="B168" s="127"/>
    </row>
    <row r="169" spans="1:2">
      <c r="A169" s="127"/>
      <c r="B169" s="127"/>
    </row>
    <row r="170" spans="1:2">
      <c r="A170" s="127"/>
      <c r="B170" s="127"/>
    </row>
    <row r="171" spans="1:2">
      <c r="A171" s="127"/>
      <c r="B171" s="127"/>
    </row>
    <row r="172" spans="1:2">
      <c r="A172" s="127"/>
      <c r="B172" s="127"/>
    </row>
    <row r="173" spans="1:2">
      <c r="A173" s="127"/>
      <c r="B173" s="127"/>
    </row>
    <row r="174" spans="1:2">
      <c r="A174" s="127"/>
      <c r="B174" s="127"/>
    </row>
    <row r="175" spans="1:2">
      <c r="A175" s="127"/>
      <c r="B175" s="127"/>
    </row>
    <row r="176" spans="1:2">
      <c r="A176" s="127"/>
      <c r="B176" s="127"/>
    </row>
    <row r="177" spans="1:2">
      <c r="A177" s="127"/>
      <c r="B177" s="127"/>
    </row>
    <row r="178" spans="1:2">
      <c r="A178" s="127"/>
      <c r="B178" s="127"/>
    </row>
    <row r="179" spans="1:2">
      <c r="A179" s="127"/>
      <c r="B179" s="127"/>
    </row>
    <row r="180" spans="1:2">
      <c r="A180" s="127"/>
      <c r="B180" s="127"/>
    </row>
    <row r="181" spans="1:2">
      <c r="A181" s="127"/>
      <c r="B181" s="127"/>
    </row>
    <row r="182" spans="1:2">
      <c r="A182" s="127"/>
      <c r="B182" s="127"/>
    </row>
    <row r="183" spans="1:2">
      <c r="A183" s="127"/>
      <c r="B183" s="127"/>
    </row>
    <row r="184" spans="1:2">
      <c r="A184" s="127"/>
      <c r="B184" s="127"/>
    </row>
    <row r="185" spans="1:2">
      <c r="A185" s="127"/>
      <c r="B185" s="127"/>
    </row>
    <row r="186" spans="1:2">
      <c r="A186" s="127"/>
      <c r="B186" s="127"/>
    </row>
    <row r="187" spans="1:2">
      <c r="A187" s="127"/>
      <c r="B187" s="127"/>
    </row>
    <row r="188" spans="1:2">
      <c r="A188" s="127"/>
      <c r="B188" s="127"/>
    </row>
    <row r="189" spans="1:2">
      <c r="A189" s="127"/>
      <c r="B189" s="127"/>
    </row>
    <row r="190" spans="1:2">
      <c r="A190" s="127"/>
      <c r="B190" s="127"/>
    </row>
    <row r="191" spans="1:2">
      <c r="A191" s="127"/>
      <c r="B191" s="127"/>
    </row>
    <row r="192" spans="1:2">
      <c r="A192" s="127"/>
      <c r="B192" s="127"/>
    </row>
    <row r="193" spans="1:2">
      <c r="A193" s="127"/>
      <c r="B193" s="127"/>
    </row>
    <row r="194" spans="1:2">
      <c r="A194" s="127"/>
      <c r="B194" s="127"/>
    </row>
    <row r="195" spans="1:2">
      <c r="A195" s="127"/>
      <c r="B195" s="127"/>
    </row>
    <row r="196" spans="1:2">
      <c r="A196" s="127"/>
      <c r="B196" s="127"/>
    </row>
    <row r="197" spans="1:2">
      <c r="A197" s="127"/>
      <c r="B197" s="127"/>
    </row>
    <row r="198" spans="1:2">
      <c r="A198" s="127"/>
      <c r="B198" s="127"/>
    </row>
    <row r="199" spans="1:2">
      <c r="A199" s="127"/>
      <c r="B199" s="127"/>
    </row>
    <row r="200" spans="1:2">
      <c r="A200" s="127"/>
      <c r="B200" s="127"/>
    </row>
    <row r="201" spans="1:2">
      <c r="A201" s="127"/>
      <c r="B201" s="127"/>
    </row>
    <row r="202" spans="1:2">
      <c r="A202" s="127"/>
      <c r="B202" s="127"/>
    </row>
    <row r="203" spans="1:2">
      <c r="A203" s="127"/>
      <c r="B203" s="127"/>
    </row>
    <row r="204" spans="1:2">
      <c r="A204" s="127"/>
      <c r="B204" s="127"/>
    </row>
    <row r="205" spans="1:2">
      <c r="A205" s="127"/>
      <c r="B205" s="127"/>
    </row>
    <row r="206" spans="1:2">
      <c r="A206" s="127"/>
      <c r="B206" s="127"/>
    </row>
    <row r="207" spans="1:2">
      <c r="A207" s="127"/>
      <c r="B207" s="127"/>
    </row>
    <row r="208" spans="1:2">
      <c r="A208" s="127"/>
      <c r="B208" s="127"/>
    </row>
    <row r="209" spans="1:2">
      <c r="A209" s="127"/>
      <c r="B209" s="127"/>
    </row>
    <row r="210" spans="1:2">
      <c r="A210" s="127"/>
      <c r="B210" s="127"/>
    </row>
    <row r="211" spans="1:2">
      <c r="A211" s="127"/>
      <c r="B211" s="127"/>
    </row>
    <row r="212" spans="1:2">
      <c r="A212" s="127"/>
      <c r="B212" s="127"/>
    </row>
    <row r="213" spans="1:2">
      <c r="A213" s="127"/>
      <c r="B213" s="127"/>
    </row>
    <row r="214" spans="1:2">
      <c r="A214" s="127"/>
      <c r="B214" s="127"/>
    </row>
    <row r="215" spans="1:2">
      <c r="A215" s="127"/>
      <c r="B215" s="127"/>
    </row>
    <row r="216" spans="1:2">
      <c r="A216" s="127"/>
      <c r="B216" s="127"/>
    </row>
    <row r="217" spans="1:2">
      <c r="A217" s="127"/>
      <c r="B217" s="127"/>
    </row>
    <row r="218" spans="1:2">
      <c r="A218" s="127"/>
      <c r="B218" s="127"/>
    </row>
    <row r="219" spans="1:2">
      <c r="A219" s="127"/>
      <c r="B219" s="127"/>
    </row>
    <row r="220" spans="1:2">
      <c r="A220" s="127"/>
      <c r="B220" s="127"/>
    </row>
    <row r="221" spans="1:2">
      <c r="A221" s="127"/>
      <c r="B221" s="127"/>
    </row>
    <row r="222" spans="1:2">
      <c r="A222" s="127"/>
      <c r="B222" s="127"/>
    </row>
    <row r="223" spans="1:2">
      <c r="A223" s="127"/>
      <c r="B223" s="127"/>
    </row>
    <row r="224" spans="1:2">
      <c r="A224" s="127"/>
      <c r="B224" s="127"/>
    </row>
    <row r="225" spans="1:2">
      <c r="A225" s="127"/>
      <c r="B225" s="127"/>
    </row>
    <row r="226" spans="1:2">
      <c r="A226" s="127"/>
      <c r="B226" s="127"/>
    </row>
    <row r="227" spans="1:2">
      <c r="A227" s="127"/>
      <c r="B227" s="127"/>
    </row>
    <row r="228" spans="1:2">
      <c r="A228" s="127"/>
      <c r="B228" s="127"/>
    </row>
    <row r="229" spans="1:2">
      <c r="A229" s="127"/>
      <c r="B229" s="127"/>
    </row>
    <row r="230" spans="1:2">
      <c r="A230" s="127"/>
      <c r="B230" s="127"/>
    </row>
    <row r="231" spans="1:2">
      <c r="A231" s="127"/>
      <c r="B231" s="127"/>
    </row>
    <row r="232" spans="1:2">
      <c r="A232" s="127"/>
      <c r="B232" s="127"/>
    </row>
    <row r="233" spans="1:2">
      <c r="A233" s="127"/>
      <c r="B233" s="127"/>
    </row>
    <row r="234" spans="1:2">
      <c r="A234" s="127"/>
      <c r="B234" s="127"/>
    </row>
    <row r="235" spans="1:2">
      <c r="A235" s="127"/>
      <c r="B235" s="127"/>
    </row>
    <row r="236" spans="1:2">
      <c r="A236" s="127"/>
      <c r="B236" s="127"/>
    </row>
    <row r="237" spans="1:2">
      <c r="A237" s="127"/>
      <c r="B237" s="127"/>
    </row>
    <row r="238" spans="1:2">
      <c r="A238" s="127"/>
      <c r="B238" s="127"/>
    </row>
    <row r="239" spans="1:2">
      <c r="A239" s="127"/>
      <c r="B239" s="127"/>
    </row>
    <row r="240" spans="1:2">
      <c r="A240" s="127"/>
      <c r="B240" s="127"/>
    </row>
    <row r="241" spans="1:2">
      <c r="A241" s="127"/>
      <c r="B241" s="127"/>
    </row>
    <row r="242" spans="1:2">
      <c r="A242" s="127"/>
      <c r="B242" s="127"/>
    </row>
    <row r="243" spans="1:2">
      <c r="A243" s="127"/>
      <c r="B243" s="127"/>
    </row>
    <row r="244" spans="1:2">
      <c r="A244" s="127"/>
      <c r="B244" s="127"/>
    </row>
    <row r="245" spans="1:2">
      <c r="A245" s="127"/>
      <c r="B245" s="127"/>
    </row>
    <row r="246" spans="1:2">
      <c r="A246" s="127"/>
      <c r="B246" s="127"/>
    </row>
    <row r="247" spans="1:2">
      <c r="A247" s="127"/>
      <c r="B247" s="127"/>
    </row>
    <row r="248" spans="1:2">
      <c r="A248" s="127"/>
      <c r="B248" s="127"/>
    </row>
    <row r="249" spans="1:2">
      <c r="A249" s="127"/>
      <c r="B249" s="127"/>
    </row>
    <row r="250" spans="1:2">
      <c r="A250" s="127"/>
      <c r="B250" s="127"/>
    </row>
    <row r="251" spans="1:2">
      <c r="A251" s="127"/>
      <c r="B251" s="127"/>
    </row>
    <row r="252" spans="1:2">
      <c r="A252" s="127"/>
      <c r="B252" s="127"/>
    </row>
    <row r="253" spans="1:2">
      <c r="A253" s="127"/>
      <c r="B253" s="127"/>
    </row>
    <row r="254" spans="1:2">
      <c r="A254" s="127"/>
      <c r="B254" s="127"/>
    </row>
    <row r="255" spans="1:2">
      <c r="A255" s="127"/>
      <c r="B255" s="127"/>
    </row>
    <row r="256" spans="1:2">
      <c r="A256" s="127"/>
      <c r="B256" s="127"/>
    </row>
    <row r="257" spans="1:2">
      <c r="A257" s="127"/>
      <c r="B257" s="127"/>
    </row>
    <row r="258" spans="1:2">
      <c r="A258" s="127"/>
      <c r="B258" s="127"/>
    </row>
    <row r="259" spans="1:2">
      <c r="A259" s="127"/>
      <c r="B259" s="127"/>
    </row>
    <row r="260" spans="1:2">
      <c r="A260" s="127"/>
      <c r="B260" s="127"/>
    </row>
    <row r="261" spans="1:2">
      <c r="A261" s="127"/>
      <c r="B261" s="127"/>
    </row>
    <row r="262" spans="1:2">
      <c r="A262" s="127"/>
      <c r="B262" s="127"/>
    </row>
    <row r="263" spans="1:2">
      <c r="A263" s="127"/>
      <c r="B263" s="127"/>
    </row>
    <row r="264" spans="1:2">
      <c r="A264" s="127"/>
      <c r="B264" s="127"/>
    </row>
    <row r="265" spans="1:2">
      <c r="A265" s="127"/>
      <c r="B265" s="127"/>
    </row>
    <row r="266" spans="1:2">
      <c r="A266" s="127"/>
      <c r="B266" s="127"/>
    </row>
    <row r="267" spans="1:2">
      <c r="A267" s="127"/>
      <c r="B267" s="127"/>
    </row>
    <row r="268" spans="1:2">
      <c r="A268" s="127"/>
      <c r="B268" s="127"/>
    </row>
    <row r="269" spans="1:2">
      <c r="A269" s="127"/>
      <c r="B269" s="127"/>
    </row>
    <row r="270" spans="1:2">
      <c r="A270" s="127"/>
      <c r="B270" s="127"/>
    </row>
    <row r="271" spans="1:2">
      <c r="A271" s="127"/>
      <c r="B271" s="127"/>
    </row>
    <row r="272" spans="1:2">
      <c r="A272" s="127"/>
      <c r="B272" s="127"/>
    </row>
    <row r="273" spans="1:2">
      <c r="A273" s="127"/>
      <c r="B273" s="127"/>
    </row>
    <row r="274" spans="1:2">
      <c r="A274" s="127"/>
      <c r="B274" s="127"/>
    </row>
    <row r="275" spans="1:2">
      <c r="A275" s="127"/>
      <c r="B275" s="127"/>
    </row>
    <row r="276" spans="1:2">
      <c r="A276" s="127"/>
      <c r="B276" s="127"/>
    </row>
    <row r="277" spans="1:2">
      <c r="A277" s="127"/>
      <c r="B277" s="127"/>
    </row>
    <row r="278" spans="1:2">
      <c r="A278" s="127"/>
      <c r="B278" s="127"/>
    </row>
    <row r="279" spans="1:2">
      <c r="A279" s="127"/>
      <c r="B279" s="127"/>
    </row>
    <row r="280" spans="1:2">
      <c r="A280" s="127"/>
      <c r="B280" s="127"/>
    </row>
    <row r="281" spans="1:2">
      <c r="A281" s="127"/>
      <c r="B281" s="127"/>
    </row>
    <row r="282" spans="1:2">
      <c r="A282" s="127"/>
      <c r="B282" s="127"/>
    </row>
    <row r="283" spans="1:2">
      <c r="A283" s="127"/>
      <c r="B283" s="127"/>
    </row>
    <row r="284" spans="1:2">
      <c r="A284" s="127"/>
      <c r="B284" s="127"/>
    </row>
    <row r="285" spans="1:2">
      <c r="A285" s="127"/>
      <c r="B285" s="127"/>
    </row>
    <row r="286" spans="1:2">
      <c r="A286" s="127"/>
      <c r="B286" s="127"/>
    </row>
    <row r="287" spans="1:2">
      <c r="A287" s="127"/>
      <c r="B287" s="127"/>
    </row>
    <row r="288" spans="1:2">
      <c r="A288" s="127"/>
      <c r="B288" s="127"/>
    </row>
    <row r="289" spans="1:2">
      <c r="A289" s="127"/>
      <c r="B289" s="127"/>
    </row>
    <row r="290" spans="1:2">
      <c r="A290" s="127"/>
      <c r="B290" s="127"/>
    </row>
    <row r="291" spans="1:2">
      <c r="A291" s="127"/>
      <c r="B291" s="127"/>
    </row>
    <row r="292" spans="1:2">
      <c r="A292" s="127"/>
      <c r="B292" s="127"/>
    </row>
    <row r="293" spans="1:2">
      <c r="A293" s="127"/>
      <c r="B293" s="127"/>
    </row>
    <row r="294" spans="1:2">
      <c r="A294" s="127"/>
      <c r="B294" s="127"/>
    </row>
    <row r="295" spans="1:2">
      <c r="A295" s="127"/>
      <c r="B295" s="127"/>
    </row>
    <row r="296" spans="1:2">
      <c r="A296" s="127"/>
      <c r="B296" s="127"/>
    </row>
    <row r="297" spans="1:2">
      <c r="A297" s="127"/>
      <c r="B297" s="127"/>
    </row>
    <row r="298" spans="1:2">
      <c r="A298" s="127"/>
      <c r="B298" s="127"/>
    </row>
    <row r="299" spans="1:2">
      <c r="A299" s="127"/>
      <c r="B299" s="127"/>
    </row>
    <row r="300" spans="1:2">
      <c r="A300" s="127"/>
      <c r="B300" s="127"/>
    </row>
    <row r="301" spans="1:2">
      <c r="A301" s="127"/>
      <c r="B301" s="127"/>
    </row>
    <row r="302" spans="1:2">
      <c r="A302" s="127"/>
      <c r="B302" s="127"/>
    </row>
    <row r="303" spans="1:2">
      <c r="A303" s="127"/>
      <c r="B303" s="127"/>
    </row>
    <row r="304" spans="1:2">
      <c r="A304" s="127"/>
      <c r="B304" s="127"/>
    </row>
    <row r="305" spans="1:2">
      <c r="A305" s="127"/>
      <c r="B305" s="127"/>
    </row>
    <row r="306" spans="1:2">
      <c r="A306" s="127"/>
      <c r="B306" s="127"/>
    </row>
    <row r="307" spans="1:2">
      <c r="A307" s="127"/>
      <c r="B307" s="127"/>
    </row>
    <row r="308" spans="1:2">
      <c r="A308" s="127"/>
      <c r="B308" s="127"/>
    </row>
    <row r="309" spans="1:2">
      <c r="A309" s="127"/>
      <c r="B309" s="127"/>
    </row>
    <row r="310" spans="1:2">
      <c r="A310" s="127"/>
      <c r="B310" s="127"/>
    </row>
    <row r="311" spans="1:2">
      <c r="A311" s="127"/>
      <c r="B311" s="127"/>
    </row>
    <row r="312" spans="1:2">
      <c r="A312" s="127"/>
      <c r="B312" s="127"/>
    </row>
    <row r="313" spans="1:2">
      <c r="A313" s="127"/>
      <c r="B313" s="127"/>
    </row>
    <row r="314" spans="1:2">
      <c r="A314" s="127"/>
      <c r="B314" s="127"/>
    </row>
    <row r="315" spans="1:2">
      <c r="A315" s="127"/>
      <c r="B315" s="127"/>
    </row>
    <row r="316" spans="1:2">
      <c r="A316" s="127"/>
      <c r="B316" s="127"/>
    </row>
    <row r="317" spans="1:2">
      <c r="A317" s="127"/>
      <c r="B317" s="127"/>
    </row>
    <row r="318" spans="1:2">
      <c r="A318" s="127"/>
      <c r="B318" s="127"/>
    </row>
    <row r="319" spans="1:2">
      <c r="A319" s="127"/>
      <c r="B319" s="127"/>
    </row>
    <row r="320" spans="1:2">
      <c r="A320" s="127"/>
      <c r="B320" s="127"/>
    </row>
    <row r="321" spans="1:2">
      <c r="A321" s="127"/>
      <c r="B321" s="127"/>
    </row>
    <row r="322" spans="1:2">
      <c r="A322" s="127"/>
      <c r="B322" s="127"/>
    </row>
    <row r="323" spans="1:2">
      <c r="A323" s="127"/>
      <c r="B323" s="127"/>
    </row>
    <row r="324" spans="1:2">
      <c r="A324" s="127"/>
      <c r="B324" s="127"/>
    </row>
    <row r="325" spans="1:2">
      <c r="A325" s="127"/>
      <c r="B325" s="127"/>
    </row>
    <row r="326" spans="1:2">
      <c r="A326" s="127"/>
      <c r="B326" s="127"/>
    </row>
    <row r="327" spans="1:2">
      <c r="A327" s="127"/>
      <c r="B327" s="127"/>
    </row>
    <row r="328" spans="1:2">
      <c r="A328" s="127"/>
      <c r="B328" s="127"/>
    </row>
    <row r="329" spans="1:2">
      <c r="A329" s="127"/>
      <c r="B329" s="127"/>
    </row>
    <row r="330" spans="1:2">
      <c r="A330" s="127"/>
      <c r="B330" s="127"/>
    </row>
    <row r="331" spans="1:2">
      <c r="A331" s="127"/>
      <c r="B331" s="127"/>
    </row>
    <row r="332" spans="1:2">
      <c r="A332" s="127"/>
      <c r="B332" s="127"/>
    </row>
    <row r="333" spans="1:2">
      <c r="A333" s="127"/>
      <c r="B333" s="127"/>
    </row>
    <row r="334" spans="1:2">
      <c r="A334" s="127"/>
      <c r="B334" s="127"/>
    </row>
    <row r="335" spans="1:2">
      <c r="A335" s="127"/>
      <c r="B335" s="127"/>
    </row>
    <row r="336" spans="1:2">
      <c r="A336" s="127"/>
      <c r="B336" s="127"/>
    </row>
    <row r="337" spans="1:2">
      <c r="A337" s="127"/>
      <c r="B337" s="127"/>
    </row>
    <row r="338" spans="1:2">
      <c r="A338" s="127"/>
      <c r="B338" s="127"/>
    </row>
    <row r="339" spans="1:2">
      <c r="A339" s="127"/>
      <c r="B339" s="127"/>
    </row>
    <row r="340" spans="1:2">
      <c r="A340" s="127"/>
      <c r="B340" s="127"/>
    </row>
    <row r="341" spans="1:2">
      <c r="A341" s="127"/>
      <c r="B341" s="127"/>
    </row>
    <row r="342" spans="1:2">
      <c r="A342" s="127"/>
      <c r="B342" s="127"/>
    </row>
    <row r="343" spans="1:2">
      <c r="A343" s="127"/>
      <c r="B343" s="127"/>
    </row>
    <row r="344" spans="1:2">
      <c r="A344" s="127"/>
      <c r="B344" s="127"/>
    </row>
    <row r="345" spans="1:2">
      <c r="A345" s="127"/>
      <c r="B345" s="127"/>
    </row>
    <row r="346" spans="1:2">
      <c r="A346" s="127"/>
      <c r="B346" s="127"/>
    </row>
    <row r="347" spans="1:2">
      <c r="A347" s="127"/>
      <c r="B347" s="127"/>
    </row>
    <row r="348" spans="1:2">
      <c r="A348" s="127"/>
      <c r="B348" s="127"/>
    </row>
    <row r="349" spans="1:2">
      <c r="A349" s="127"/>
      <c r="B349" s="127"/>
    </row>
    <row r="350" spans="1:2">
      <c r="A350" s="127"/>
      <c r="B350" s="127"/>
    </row>
    <row r="351" spans="1:2">
      <c r="A351" s="127"/>
      <c r="B351" s="127"/>
    </row>
    <row r="352" spans="1:2">
      <c r="A352" s="127"/>
      <c r="B352" s="127"/>
    </row>
    <row r="353" spans="1:2">
      <c r="A353" s="127"/>
      <c r="B353" s="127"/>
    </row>
    <row r="354" spans="1:2">
      <c r="A354" s="127"/>
      <c r="B354" s="127"/>
    </row>
    <row r="355" spans="1:2">
      <c r="A355" s="127"/>
      <c r="B355" s="127"/>
    </row>
    <row r="356" spans="1:2">
      <c r="A356" s="127"/>
      <c r="B356" s="127"/>
    </row>
    <row r="357" spans="1:2">
      <c r="A357" s="127"/>
      <c r="B357" s="127"/>
    </row>
    <row r="358" spans="1:2">
      <c r="A358" s="127"/>
      <c r="B358" s="127"/>
    </row>
    <row r="359" spans="1:2">
      <c r="A359" s="127"/>
      <c r="B359" s="127"/>
    </row>
    <row r="360" spans="1:2">
      <c r="A360" s="127"/>
      <c r="B360" s="127"/>
    </row>
    <row r="361" spans="1:2">
      <c r="A361" s="127"/>
      <c r="B361" s="127"/>
    </row>
    <row r="362" spans="1:2">
      <c r="A362" s="127"/>
      <c r="B362" s="127"/>
    </row>
    <row r="363" spans="1:2">
      <c r="A363" s="127"/>
      <c r="B363" s="127"/>
    </row>
    <row r="364" spans="1:2">
      <c r="A364" s="127"/>
      <c r="B364" s="127"/>
    </row>
    <row r="365" spans="1:2">
      <c r="A365" s="127"/>
      <c r="B365" s="127"/>
    </row>
    <row r="366" spans="1:2">
      <c r="A366" s="127"/>
      <c r="B366" s="127"/>
    </row>
    <row r="367" spans="1:2">
      <c r="A367" s="127"/>
      <c r="B367" s="127"/>
    </row>
    <row r="368" spans="1:2">
      <c r="A368" s="127"/>
      <c r="B368" s="127"/>
    </row>
    <row r="369" spans="1:2">
      <c r="A369" s="127"/>
      <c r="B369" s="127"/>
    </row>
    <row r="370" spans="1:2">
      <c r="A370" s="127"/>
      <c r="B370" s="127"/>
    </row>
    <row r="371" spans="1:2">
      <c r="A371" s="127"/>
      <c r="B371" s="127"/>
    </row>
    <row r="372" spans="1:2">
      <c r="A372" s="127"/>
      <c r="B372" s="127"/>
    </row>
    <row r="373" spans="1:2">
      <c r="A373" s="127"/>
      <c r="B373" s="127"/>
    </row>
    <row r="374" spans="1:2">
      <c r="A374" s="127"/>
      <c r="B374" s="127"/>
    </row>
    <row r="375" spans="1:2">
      <c r="A375" s="127"/>
      <c r="B375" s="127"/>
    </row>
    <row r="376" spans="1:2">
      <c r="A376" s="127"/>
      <c r="B376" s="127"/>
    </row>
    <row r="377" spans="1:2">
      <c r="A377" s="127"/>
      <c r="B377" s="127"/>
    </row>
    <row r="378" spans="1:2">
      <c r="A378" s="127"/>
      <c r="B378" s="127"/>
    </row>
    <row r="379" spans="1:2">
      <c r="A379" s="127"/>
      <c r="B379" s="127"/>
    </row>
    <row r="380" spans="1:2">
      <c r="A380" s="127"/>
      <c r="B380" s="127"/>
    </row>
    <row r="381" spans="1:2">
      <c r="A381" s="127"/>
      <c r="B381" s="127"/>
    </row>
    <row r="382" spans="1:2">
      <c r="A382" s="127"/>
      <c r="B382" s="127"/>
    </row>
    <row r="383" spans="1:2">
      <c r="A383" s="127"/>
      <c r="B383" s="127"/>
    </row>
    <row r="384" spans="1:2">
      <c r="A384" s="127"/>
      <c r="B384" s="127"/>
    </row>
    <row r="385" spans="1:2">
      <c r="A385" s="127"/>
      <c r="B385" s="127"/>
    </row>
    <row r="386" spans="1:2">
      <c r="A386" s="127"/>
      <c r="B386" s="127"/>
    </row>
    <row r="387" spans="1:2">
      <c r="A387" s="127"/>
      <c r="B387" s="127"/>
    </row>
    <row r="388" spans="1:2">
      <c r="A388" s="127"/>
      <c r="B388" s="127"/>
    </row>
    <row r="389" spans="1:2">
      <c r="A389" s="127"/>
      <c r="B389" s="127"/>
    </row>
    <row r="390" spans="1:2">
      <c r="A390" s="127"/>
      <c r="B390" s="127"/>
    </row>
    <row r="391" spans="1:2">
      <c r="A391" s="127"/>
      <c r="B391" s="127"/>
    </row>
    <row r="392" spans="1:2">
      <c r="A392" s="127"/>
      <c r="B392" s="127"/>
    </row>
    <row r="393" spans="1:2">
      <c r="A393" s="127"/>
      <c r="B393" s="127"/>
    </row>
    <row r="394" spans="1:2">
      <c r="A394" s="127"/>
      <c r="B394" s="127"/>
    </row>
    <row r="395" spans="1:2">
      <c r="A395" s="127"/>
      <c r="B395" s="127"/>
    </row>
    <row r="396" spans="1:2">
      <c r="A396" s="127"/>
      <c r="B396" s="127"/>
    </row>
    <row r="397" spans="1:2">
      <c r="A397" s="127"/>
      <c r="B397" s="127"/>
    </row>
    <row r="398" spans="1:2">
      <c r="A398" s="127"/>
      <c r="B398" s="127"/>
    </row>
    <row r="399" spans="1:2">
      <c r="A399" s="127"/>
      <c r="B399" s="127"/>
    </row>
    <row r="400" spans="1:2">
      <c r="A400" s="127"/>
      <c r="B400" s="127"/>
    </row>
    <row r="401" spans="1:2">
      <c r="A401" s="127"/>
      <c r="B401" s="127"/>
    </row>
    <row r="402" spans="1:2">
      <c r="A402" s="127"/>
      <c r="B402" s="127"/>
    </row>
    <row r="403" spans="1:2">
      <c r="A403" s="127"/>
      <c r="B403" s="127"/>
    </row>
    <row r="404" spans="1:2">
      <c r="A404" s="127"/>
      <c r="B404" s="127"/>
    </row>
    <row r="405" spans="1:2">
      <c r="A405" s="127"/>
      <c r="B405" s="127"/>
    </row>
    <row r="406" spans="1:2">
      <c r="A406" s="127"/>
      <c r="B406" s="127"/>
    </row>
    <row r="407" spans="1:2">
      <c r="A407" s="127"/>
      <c r="B407" s="127"/>
    </row>
    <row r="408" spans="1:2">
      <c r="A408" s="127"/>
      <c r="B408" s="127"/>
    </row>
    <row r="409" spans="1:2">
      <c r="A409" s="127"/>
      <c r="B409" s="127"/>
    </row>
    <row r="410" spans="1:2">
      <c r="A410" s="127"/>
      <c r="B410" s="127"/>
    </row>
    <row r="411" spans="1:2">
      <c r="A411" s="127"/>
      <c r="B411" s="127"/>
    </row>
    <row r="412" spans="1:2">
      <c r="A412" s="127"/>
      <c r="B412" s="127"/>
    </row>
    <row r="413" spans="1:2">
      <c r="A413" s="127"/>
      <c r="B413" s="127"/>
    </row>
    <row r="414" spans="1:2">
      <c r="A414" s="127"/>
      <c r="B414" s="127"/>
    </row>
    <row r="415" spans="1:2">
      <c r="A415" s="127"/>
      <c r="B415" s="127"/>
    </row>
    <row r="416" spans="1:2">
      <c r="A416" s="127"/>
      <c r="B416" s="127"/>
    </row>
    <row r="417" spans="1:2">
      <c r="A417" s="127"/>
      <c r="B417" s="127"/>
    </row>
    <row r="418" spans="1:2">
      <c r="A418" s="127"/>
      <c r="B418" s="127"/>
    </row>
    <row r="419" spans="1:2">
      <c r="A419" s="127"/>
      <c r="B419" s="127"/>
    </row>
    <row r="420" spans="1:2">
      <c r="A420" s="127"/>
      <c r="B420" s="127"/>
    </row>
    <row r="421" spans="1:2">
      <c r="A421" s="127"/>
      <c r="B421" s="127"/>
    </row>
    <row r="422" spans="1:2">
      <c r="A422" s="127"/>
      <c r="B422" s="127"/>
    </row>
    <row r="423" spans="1:2">
      <c r="A423" s="127"/>
      <c r="B423" s="127"/>
    </row>
    <row r="424" spans="1:2">
      <c r="A424" s="127"/>
      <c r="B424" s="127"/>
    </row>
    <row r="425" spans="1:2">
      <c r="A425" s="127"/>
      <c r="B425" s="127"/>
    </row>
    <row r="426" spans="1:2">
      <c r="A426" s="127"/>
      <c r="B426" s="127"/>
    </row>
    <row r="427" spans="1:2">
      <c r="A427" s="127"/>
      <c r="B427" s="127"/>
    </row>
    <row r="428" spans="1:2">
      <c r="A428" s="127"/>
      <c r="B428" s="127"/>
    </row>
    <row r="429" spans="1:2">
      <c r="A429" s="127"/>
      <c r="B429" s="127"/>
    </row>
    <row r="430" spans="1:2">
      <c r="A430" s="127"/>
      <c r="B430" s="127"/>
    </row>
    <row r="431" spans="1:2">
      <c r="A431" s="127"/>
      <c r="B431" s="127"/>
    </row>
    <row r="432" spans="1:2">
      <c r="A432" s="127"/>
      <c r="B432" s="127"/>
    </row>
    <row r="433" spans="1:2">
      <c r="A433" s="127"/>
      <c r="B433" s="127"/>
    </row>
    <row r="434" spans="1:2">
      <c r="A434" s="127"/>
      <c r="B434" s="127"/>
    </row>
    <row r="435" spans="1:2">
      <c r="A435" s="127"/>
      <c r="B435" s="127"/>
    </row>
    <row r="436" spans="1:2">
      <c r="A436" s="127"/>
      <c r="B436" s="127"/>
    </row>
    <row r="437" spans="1:2">
      <c r="A437" s="127"/>
      <c r="B437" s="127"/>
    </row>
    <row r="438" spans="1:2">
      <c r="A438" s="127"/>
      <c r="B438" s="127"/>
    </row>
    <row r="439" spans="1:2">
      <c r="A439" s="127"/>
      <c r="B439" s="127"/>
    </row>
    <row r="440" spans="1:2">
      <c r="A440" s="127"/>
      <c r="B440" s="127"/>
    </row>
    <row r="441" spans="1:2">
      <c r="A441" s="127"/>
      <c r="B441" s="127"/>
    </row>
    <row r="442" spans="1:2">
      <c r="A442" s="127"/>
      <c r="B442" s="127"/>
    </row>
    <row r="443" spans="1:2">
      <c r="A443" s="127"/>
      <c r="B443" s="127"/>
    </row>
    <row r="444" spans="1:2">
      <c r="A444" s="127"/>
      <c r="B444" s="127"/>
    </row>
    <row r="445" spans="1:2">
      <c r="A445" s="127"/>
      <c r="B445" s="127"/>
    </row>
    <row r="446" spans="1:2">
      <c r="A446" s="127"/>
      <c r="B446" s="127"/>
    </row>
    <row r="447" spans="1:2">
      <c r="A447" s="127"/>
      <c r="B447" s="127"/>
    </row>
    <row r="448" spans="1:2">
      <c r="A448" s="127"/>
      <c r="B448" s="127"/>
    </row>
    <row r="449" spans="1:2">
      <c r="A449" s="127"/>
      <c r="B449" s="127"/>
    </row>
    <row r="450" spans="1:2">
      <c r="A450" s="127"/>
      <c r="B450" s="127"/>
    </row>
    <row r="451" spans="1:2">
      <c r="A451" s="127"/>
      <c r="B451" s="127"/>
    </row>
    <row r="452" spans="1:2">
      <c r="A452" s="127"/>
      <c r="B452" s="127"/>
    </row>
    <row r="453" spans="1:2">
      <c r="A453" s="127"/>
      <c r="B453" s="127"/>
    </row>
    <row r="454" spans="1:2">
      <c r="A454" s="127"/>
      <c r="B454" s="127"/>
    </row>
    <row r="455" spans="1:2">
      <c r="A455" s="127"/>
      <c r="B455" s="127"/>
    </row>
    <row r="456" spans="1:2">
      <c r="A456" s="127"/>
      <c r="B456" s="127"/>
    </row>
    <row r="457" spans="1:2">
      <c r="A457" s="127"/>
      <c r="B457" s="127"/>
    </row>
    <row r="458" spans="1:2">
      <c r="A458" s="127"/>
      <c r="B458" s="127"/>
    </row>
    <row r="459" spans="1:2">
      <c r="A459" s="127"/>
      <c r="B459" s="127"/>
    </row>
    <row r="460" spans="1:2">
      <c r="A460" s="127"/>
      <c r="B460" s="127"/>
    </row>
    <row r="461" spans="1:2">
      <c r="A461" s="127"/>
      <c r="B461" s="127"/>
    </row>
    <row r="462" spans="1:2">
      <c r="A462" s="127"/>
      <c r="B462" s="127"/>
    </row>
    <row r="463" spans="1:2">
      <c r="A463" s="127"/>
      <c r="B463" s="127"/>
    </row>
    <row r="464" spans="1:2">
      <c r="A464" s="127"/>
      <c r="B464" s="127"/>
    </row>
    <row r="465" spans="1:2">
      <c r="A465" s="127"/>
      <c r="B465" s="127"/>
    </row>
    <row r="466" spans="1:2">
      <c r="A466" s="127"/>
      <c r="B466" s="127"/>
    </row>
    <row r="467" spans="1:2">
      <c r="A467" s="127"/>
      <c r="B467" s="127"/>
    </row>
    <row r="468" spans="1:2">
      <c r="A468" s="127"/>
      <c r="B468" s="127"/>
    </row>
    <row r="469" spans="1:2">
      <c r="A469" s="127"/>
      <c r="B469" s="127"/>
    </row>
    <row r="470" spans="1:2">
      <c r="A470" s="127"/>
      <c r="B470" s="127"/>
    </row>
    <row r="471" spans="1:2">
      <c r="A471" s="127"/>
      <c r="B471" s="127"/>
    </row>
    <row r="472" spans="1:2">
      <c r="A472" s="127"/>
      <c r="B472" s="127"/>
    </row>
    <row r="473" spans="1:2">
      <c r="A473" s="127"/>
      <c r="B473" s="127"/>
    </row>
    <row r="474" spans="1:2">
      <c r="A474" s="127"/>
      <c r="B474" s="127"/>
    </row>
    <row r="475" spans="1:2">
      <c r="A475" s="127"/>
      <c r="B475" s="127"/>
    </row>
    <row r="476" spans="1:2">
      <c r="A476" s="127"/>
      <c r="B476" s="127"/>
    </row>
    <row r="477" spans="1:2">
      <c r="A477" s="127"/>
      <c r="B477" s="127"/>
    </row>
    <row r="478" spans="1:2">
      <c r="A478" s="127"/>
      <c r="B478" s="127"/>
    </row>
    <row r="479" spans="1:2">
      <c r="A479" s="127"/>
      <c r="B479" s="127"/>
    </row>
    <row r="480" spans="1:2">
      <c r="A480" s="127"/>
      <c r="B480" s="127"/>
    </row>
    <row r="481" spans="1:2">
      <c r="A481" s="127"/>
      <c r="B481" s="127"/>
    </row>
    <row r="482" spans="1:2">
      <c r="A482" s="127"/>
      <c r="B482" s="127"/>
    </row>
    <row r="483" spans="1:2">
      <c r="A483" s="127"/>
      <c r="B483" s="127"/>
    </row>
    <row r="484" spans="1:2">
      <c r="A484" s="127"/>
      <c r="B484" s="127"/>
    </row>
    <row r="485" spans="1:2">
      <c r="A485" s="127"/>
      <c r="B485" s="127"/>
    </row>
    <row r="486" spans="1:2">
      <c r="A486" s="127"/>
      <c r="B486" s="127"/>
    </row>
    <row r="487" spans="1:2">
      <c r="A487" s="127"/>
      <c r="B487" s="127"/>
    </row>
    <row r="488" spans="1:2">
      <c r="A488" s="127"/>
      <c r="B488" s="127"/>
    </row>
    <row r="489" spans="1:2">
      <c r="A489" s="127"/>
      <c r="B489" s="127"/>
    </row>
    <row r="490" spans="1:2">
      <c r="A490" s="127"/>
      <c r="B490" s="127"/>
    </row>
    <row r="491" spans="1:2">
      <c r="A491" s="127"/>
      <c r="B491" s="127"/>
    </row>
    <row r="492" spans="1:2">
      <c r="A492" s="127"/>
      <c r="B492" s="127"/>
    </row>
    <row r="493" spans="1:2">
      <c r="A493" s="127"/>
      <c r="B493" s="127"/>
    </row>
    <row r="494" spans="1:2">
      <c r="A494" s="127"/>
      <c r="B494" s="127"/>
    </row>
    <row r="495" spans="1:2">
      <c r="A495" s="127"/>
      <c r="B495" s="127"/>
    </row>
    <row r="496" spans="1:2">
      <c r="A496" s="127"/>
      <c r="B496" s="127"/>
    </row>
    <row r="497" spans="1:2">
      <c r="A497" s="127"/>
      <c r="B497" s="127"/>
    </row>
    <row r="498" spans="1:2">
      <c r="A498" s="127"/>
      <c r="B498" s="127"/>
    </row>
    <row r="499" spans="1:2">
      <c r="A499" s="127"/>
      <c r="B499" s="127"/>
    </row>
    <row r="500" spans="1:2">
      <c r="A500" s="127"/>
      <c r="B500" s="127"/>
    </row>
    <row r="501" spans="1:2">
      <c r="A501" s="127"/>
      <c r="B501" s="127"/>
    </row>
    <row r="502" spans="1:2">
      <c r="A502" s="127"/>
      <c r="B502" s="127"/>
    </row>
    <row r="503" spans="1:2">
      <c r="A503" s="127"/>
      <c r="B503" s="127"/>
    </row>
    <row r="504" spans="1:2">
      <c r="A504" s="127"/>
      <c r="B504" s="127"/>
    </row>
    <row r="505" spans="1:2">
      <c r="A505" s="127"/>
      <c r="B505" s="127"/>
    </row>
    <row r="506" spans="1:2">
      <c r="A506" s="127"/>
      <c r="B506" s="127"/>
    </row>
    <row r="507" spans="1:2">
      <c r="A507" s="127"/>
      <c r="B507" s="127"/>
    </row>
    <row r="508" spans="1:2">
      <c r="A508" s="127"/>
      <c r="B508" s="127"/>
    </row>
    <row r="509" spans="1:2">
      <c r="A509" s="127"/>
      <c r="B509" s="127"/>
    </row>
    <row r="510" spans="1:2">
      <c r="A510" s="127"/>
      <c r="B510" s="127"/>
    </row>
    <row r="511" spans="1:2">
      <c r="A511" s="127"/>
      <c r="B511" s="127"/>
    </row>
    <row r="512" spans="1:2">
      <c r="A512" s="127"/>
      <c r="B512" s="127"/>
    </row>
    <row r="513" spans="1:2">
      <c r="A513" s="127"/>
      <c r="B513" s="127"/>
    </row>
    <row r="514" spans="1:2">
      <c r="A514" s="127"/>
      <c r="B514" s="127"/>
    </row>
    <row r="515" spans="1:2">
      <c r="A515" s="127"/>
      <c r="B515" s="127"/>
    </row>
    <row r="516" spans="1:2">
      <c r="A516" s="127"/>
      <c r="B516" s="127"/>
    </row>
    <row r="517" spans="1:2">
      <c r="A517" s="127"/>
      <c r="B517" s="127"/>
    </row>
    <row r="518" spans="1:2">
      <c r="A518" s="127"/>
      <c r="B518" s="127"/>
    </row>
    <row r="519" spans="1:2">
      <c r="A519" s="127"/>
      <c r="B519" s="127"/>
    </row>
    <row r="520" spans="1:2">
      <c r="A520" s="127"/>
      <c r="B520" s="127"/>
    </row>
    <row r="521" spans="1:2">
      <c r="A521" s="127"/>
      <c r="B521" s="127"/>
    </row>
    <row r="522" spans="1:2">
      <c r="A522" s="127"/>
      <c r="B522" s="127"/>
    </row>
    <row r="523" spans="1:2">
      <c r="A523" s="127"/>
      <c r="B523" s="127"/>
    </row>
    <row r="524" spans="1:2">
      <c r="A524" s="127"/>
      <c r="B524" s="127"/>
    </row>
    <row r="525" spans="1:2">
      <c r="A525" s="127"/>
      <c r="B525" s="127"/>
    </row>
    <row r="526" spans="1:2">
      <c r="A526" s="127"/>
      <c r="B526" s="127"/>
    </row>
    <row r="527" spans="1:2">
      <c r="A527" s="127"/>
      <c r="B527" s="127"/>
    </row>
    <row r="528" spans="1:2">
      <c r="A528" s="127"/>
      <c r="B528" s="127"/>
    </row>
    <row r="529" spans="1:2">
      <c r="A529" s="127"/>
      <c r="B529" s="127"/>
    </row>
    <row r="530" spans="1:2">
      <c r="A530" s="127"/>
      <c r="B530" s="127"/>
    </row>
    <row r="531" spans="1:2">
      <c r="A531" s="127"/>
      <c r="B531" s="127"/>
    </row>
    <row r="532" spans="1:2">
      <c r="A532" s="127"/>
      <c r="B532" s="127"/>
    </row>
    <row r="533" spans="1:2">
      <c r="A533" s="127"/>
      <c r="B533" s="127"/>
    </row>
    <row r="534" spans="1:2">
      <c r="A534" s="127"/>
      <c r="B534" s="127"/>
    </row>
    <row r="535" spans="1:2">
      <c r="A535" s="127"/>
      <c r="B535" s="127"/>
    </row>
    <row r="536" spans="1:2">
      <c r="A536" s="127"/>
      <c r="B536" s="127"/>
    </row>
    <row r="537" spans="1:2">
      <c r="A537" s="127"/>
      <c r="B537" s="127"/>
    </row>
    <row r="538" spans="1:2">
      <c r="A538" s="127"/>
      <c r="B538" s="127"/>
    </row>
    <row r="539" spans="1:2">
      <c r="A539" s="127"/>
      <c r="B539" s="127"/>
    </row>
    <row r="540" spans="1:2">
      <c r="A540" s="127"/>
      <c r="B540" s="127"/>
    </row>
    <row r="541" spans="1:2">
      <c r="A541" s="127"/>
      <c r="B541" s="127"/>
    </row>
    <row r="542" spans="1:2">
      <c r="A542" s="127"/>
      <c r="B542" s="127"/>
    </row>
    <row r="543" spans="1:2">
      <c r="A543" s="127"/>
      <c r="B543" s="127"/>
    </row>
    <row r="544" spans="1:2">
      <c r="A544" s="127"/>
      <c r="B544" s="127"/>
    </row>
    <row r="545" spans="1:2">
      <c r="A545" s="127"/>
      <c r="B545" s="127"/>
    </row>
    <row r="546" spans="1:2">
      <c r="A546" s="127"/>
      <c r="B546" s="127"/>
    </row>
    <row r="547" spans="1:2">
      <c r="A547" s="127"/>
      <c r="B547" s="127"/>
    </row>
    <row r="548" spans="1:2">
      <c r="A548" s="127"/>
      <c r="B548" s="127"/>
    </row>
    <row r="549" spans="1:2">
      <c r="A549" s="127"/>
      <c r="B549" s="127"/>
    </row>
    <row r="550" spans="1:2">
      <c r="A550" s="127"/>
      <c r="B550" s="127"/>
    </row>
    <row r="551" spans="1:2">
      <c r="A551" s="127"/>
      <c r="B551" s="127"/>
    </row>
    <row r="552" spans="1:2">
      <c r="A552" s="127"/>
      <c r="B552" s="127"/>
    </row>
    <row r="553" spans="1:2">
      <c r="A553" s="127"/>
      <c r="B553" s="127"/>
    </row>
    <row r="554" spans="1:2">
      <c r="A554" s="127"/>
      <c r="B554" s="127"/>
    </row>
    <row r="555" spans="1:2">
      <c r="A555" s="127"/>
      <c r="B555" s="127"/>
    </row>
    <row r="556" spans="1:2">
      <c r="A556" s="127"/>
      <c r="B556" s="127"/>
    </row>
    <row r="557" spans="1:2">
      <c r="A557" s="127"/>
      <c r="B557" s="127"/>
    </row>
    <row r="558" spans="1:2">
      <c r="A558" s="127"/>
      <c r="B558" s="127"/>
    </row>
    <row r="559" spans="1:2">
      <c r="A559" s="127"/>
      <c r="B559" s="127"/>
    </row>
    <row r="560" spans="1:2">
      <c r="A560" s="127"/>
      <c r="B560" s="127"/>
    </row>
    <row r="561" spans="1:2">
      <c r="A561" s="127"/>
      <c r="B561" s="127"/>
    </row>
    <row r="562" spans="1:2">
      <c r="A562" s="127"/>
      <c r="B562" s="127"/>
    </row>
    <row r="563" spans="1:2">
      <c r="A563" s="127"/>
      <c r="B563" s="127"/>
    </row>
    <row r="564" spans="1:2">
      <c r="A564" s="127"/>
      <c r="B564" s="127"/>
    </row>
    <row r="565" spans="1:2">
      <c r="A565" s="127"/>
      <c r="B565" s="127"/>
    </row>
    <row r="566" spans="1:2">
      <c r="A566" s="127"/>
      <c r="B566" s="127"/>
    </row>
    <row r="567" spans="1:2">
      <c r="A567" s="127"/>
      <c r="B567" s="127"/>
    </row>
    <row r="568" spans="1:2">
      <c r="A568" s="127"/>
      <c r="B568" s="127"/>
    </row>
    <row r="569" spans="1:2">
      <c r="A569" s="127"/>
      <c r="B569" s="127"/>
    </row>
    <row r="570" spans="1:2">
      <c r="A570" s="127"/>
      <c r="B570" s="127"/>
    </row>
    <row r="571" spans="1:2">
      <c r="A571" s="127"/>
      <c r="B571" s="127"/>
    </row>
    <row r="572" spans="1:2">
      <c r="A572" s="127"/>
      <c r="B572" s="127"/>
    </row>
    <row r="573" spans="1:2">
      <c r="A573" s="127"/>
      <c r="B573" s="127"/>
    </row>
    <row r="574" spans="1:2">
      <c r="A574" s="127"/>
      <c r="B574" s="127"/>
    </row>
    <row r="575" spans="1:2">
      <c r="A575" s="127"/>
      <c r="B575" s="127"/>
    </row>
    <row r="576" spans="1:2">
      <c r="A576" s="127"/>
      <c r="B576" s="127"/>
    </row>
    <row r="577" spans="1:2">
      <c r="A577" s="127"/>
      <c r="B577" s="127"/>
    </row>
    <row r="578" spans="1:2">
      <c r="A578" s="127"/>
      <c r="B578" s="127"/>
    </row>
    <row r="579" spans="1:2">
      <c r="A579" s="127"/>
      <c r="B579" s="127"/>
    </row>
    <row r="580" spans="1:2">
      <c r="A580" s="127"/>
      <c r="B580" s="127"/>
    </row>
    <row r="581" spans="1:2">
      <c r="A581" s="127"/>
      <c r="B581" s="127"/>
    </row>
    <row r="582" spans="1:2">
      <c r="A582" s="127"/>
      <c r="B582" s="127"/>
    </row>
    <row r="583" spans="1:2">
      <c r="A583" s="127"/>
      <c r="B583" s="127"/>
    </row>
    <row r="584" spans="1:2">
      <c r="A584" s="127"/>
      <c r="B584" s="127"/>
    </row>
    <row r="585" spans="1:2">
      <c r="A585" s="127"/>
      <c r="B585" s="127"/>
    </row>
    <row r="586" spans="1:2">
      <c r="A586" s="127"/>
      <c r="B586" s="127"/>
    </row>
    <row r="587" spans="1:2">
      <c r="A587" s="127"/>
      <c r="B587" s="127"/>
    </row>
    <row r="588" spans="1:2">
      <c r="A588" s="127"/>
      <c r="B588" s="127"/>
    </row>
    <row r="589" spans="1:2">
      <c r="A589" s="127"/>
      <c r="B589" s="127"/>
    </row>
    <row r="590" spans="1:2">
      <c r="A590" s="127"/>
      <c r="B590" s="127"/>
    </row>
    <row r="591" spans="1:2">
      <c r="A591" s="127"/>
      <c r="B591" s="127"/>
    </row>
    <row r="592" spans="1:2">
      <c r="A592" s="127"/>
      <c r="B592" s="127"/>
    </row>
    <row r="593" spans="1:2">
      <c r="A593" s="127"/>
      <c r="B593" s="127"/>
    </row>
    <row r="594" spans="1:2">
      <c r="A594" s="127"/>
      <c r="B594" s="127"/>
    </row>
    <row r="595" spans="1:2">
      <c r="A595" s="127"/>
      <c r="B595" s="127"/>
    </row>
    <row r="596" spans="1:2">
      <c r="A596" s="127"/>
      <c r="B596" s="127"/>
    </row>
    <row r="597" spans="1:2">
      <c r="A597" s="127"/>
      <c r="B597" s="127"/>
    </row>
    <row r="598" spans="1:2">
      <c r="A598" s="127"/>
      <c r="B598" s="127"/>
    </row>
    <row r="599" spans="1:2">
      <c r="A599" s="127"/>
      <c r="B599" s="127"/>
    </row>
    <row r="600" spans="1:2">
      <c r="A600" s="127"/>
      <c r="B600" s="127"/>
    </row>
    <row r="601" spans="1:2">
      <c r="A601" s="127"/>
      <c r="B601" s="127"/>
    </row>
    <row r="602" spans="1:2">
      <c r="A602" s="127"/>
      <c r="B602" s="127"/>
    </row>
    <row r="603" spans="1:2">
      <c r="A603" s="127"/>
      <c r="B603" s="127"/>
    </row>
    <row r="604" spans="1:2">
      <c r="A604" s="127"/>
      <c r="B604" s="127"/>
    </row>
    <row r="605" spans="1:2">
      <c r="A605" s="127"/>
      <c r="B605" s="127"/>
    </row>
    <row r="606" spans="1:2">
      <c r="A606" s="127"/>
      <c r="B606" s="127"/>
    </row>
    <row r="607" spans="1:2">
      <c r="A607" s="127"/>
      <c r="B607" s="127"/>
    </row>
    <row r="608" spans="1:2">
      <c r="A608" s="127"/>
      <c r="B608" s="127"/>
    </row>
    <row r="609" spans="1:2">
      <c r="A609" s="127"/>
      <c r="B609" s="127"/>
    </row>
    <row r="610" spans="1:2">
      <c r="A610" s="127"/>
      <c r="B610" s="127"/>
    </row>
    <row r="611" spans="1:2">
      <c r="A611" s="127"/>
      <c r="B611" s="127"/>
    </row>
    <row r="612" spans="1:2">
      <c r="A612" s="127"/>
      <c r="B612" s="127"/>
    </row>
    <row r="613" spans="1:2">
      <c r="A613" s="127"/>
      <c r="B613" s="127"/>
    </row>
    <row r="614" spans="1:2">
      <c r="A614" s="127"/>
      <c r="B614" s="127"/>
    </row>
    <row r="615" spans="1:2">
      <c r="A615" s="127"/>
      <c r="B615" s="127"/>
    </row>
    <row r="616" spans="1:2">
      <c r="A616" s="127"/>
      <c r="B616" s="127"/>
    </row>
    <row r="617" spans="1:2">
      <c r="A617" s="127"/>
      <c r="B617" s="127"/>
    </row>
    <row r="618" spans="1:2">
      <c r="A618" s="127"/>
      <c r="B618" s="127"/>
    </row>
    <row r="619" spans="1:2">
      <c r="A619" s="127"/>
      <c r="B619" s="127"/>
    </row>
    <row r="620" spans="1:2">
      <c r="A620" s="127"/>
      <c r="B620" s="127"/>
    </row>
    <row r="621" spans="1:2">
      <c r="A621" s="127"/>
      <c r="B621" s="127"/>
    </row>
    <row r="622" spans="1:2">
      <c r="A622" s="127"/>
      <c r="B622" s="127"/>
    </row>
    <row r="623" spans="1:2">
      <c r="A623" s="127"/>
      <c r="B623" s="127"/>
    </row>
    <row r="624" spans="1:2">
      <c r="A624" s="127"/>
      <c r="B624" s="127"/>
    </row>
    <row r="625" spans="1:2">
      <c r="A625" s="127"/>
      <c r="B625" s="127"/>
    </row>
    <row r="626" spans="1:2">
      <c r="A626" s="127"/>
      <c r="B626" s="127"/>
    </row>
    <row r="627" spans="1:2">
      <c r="A627" s="127"/>
      <c r="B627" s="127"/>
    </row>
    <row r="628" spans="1:2">
      <c r="A628" s="127"/>
      <c r="B628" s="127"/>
    </row>
    <row r="629" spans="1:2">
      <c r="A629" s="127"/>
      <c r="B629" s="127"/>
    </row>
    <row r="630" spans="1:2">
      <c r="A630" s="127"/>
      <c r="B630" s="127"/>
    </row>
    <row r="631" spans="1:2">
      <c r="A631" s="127"/>
      <c r="B631" s="127"/>
    </row>
    <row r="632" spans="1:2">
      <c r="A632" s="127"/>
      <c r="B632" s="127"/>
    </row>
    <row r="633" spans="1:2">
      <c r="A633" s="127"/>
      <c r="B633" s="127"/>
    </row>
    <row r="634" spans="1:2">
      <c r="A634" s="127"/>
      <c r="B634" s="127"/>
    </row>
    <row r="635" spans="1:2">
      <c r="A635" s="127"/>
      <c r="B635" s="127"/>
    </row>
    <row r="636" spans="1:2">
      <c r="A636" s="127"/>
      <c r="B636" s="127"/>
    </row>
    <row r="637" spans="1:2">
      <c r="A637" s="127"/>
      <c r="B637" s="127"/>
    </row>
    <row r="638" spans="1:2">
      <c r="A638" s="127"/>
      <c r="B638" s="127"/>
    </row>
    <row r="639" spans="1:2">
      <c r="A639" s="127"/>
      <c r="B639" s="127"/>
    </row>
    <row r="640" spans="1:2">
      <c r="A640" s="127"/>
      <c r="B640" s="127"/>
    </row>
    <row r="641" spans="1:2">
      <c r="A641" s="127"/>
      <c r="B641" s="127"/>
    </row>
    <row r="642" spans="1:2">
      <c r="A642" s="127"/>
      <c r="B642" s="127"/>
    </row>
    <row r="643" spans="1:2">
      <c r="A643" s="127"/>
      <c r="B643" s="127"/>
    </row>
    <row r="644" spans="1:2">
      <c r="A644" s="127"/>
      <c r="B644" s="127"/>
    </row>
    <row r="645" spans="1:2">
      <c r="A645" s="127"/>
      <c r="B645" s="127"/>
    </row>
    <row r="646" spans="1:2">
      <c r="A646" s="127"/>
      <c r="B646" s="127"/>
    </row>
    <row r="647" spans="1:2">
      <c r="A647" s="127"/>
      <c r="B647" s="127"/>
    </row>
    <row r="648" spans="1:2">
      <c r="A648" s="127"/>
      <c r="B648" s="127"/>
    </row>
    <row r="649" spans="1:2">
      <c r="A649" s="127"/>
      <c r="B649" s="127"/>
    </row>
    <row r="650" spans="1:2">
      <c r="A650" s="127"/>
      <c r="B650" s="127"/>
    </row>
    <row r="651" spans="1:2">
      <c r="A651" s="127"/>
      <c r="B651" s="127"/>
    </row>
    <row r="652" spans="1:2">
      <c r="A652" s="127"/>
      <c r="B652" s="127"/>
    </row>
    <row r="653" spans="1:2">
      <c r="A653" s="127"/>
      <c r="B653" s="127"/>
    </row>
    <row r="654" spans="1:2">
      <c r="A654" s="127"/>
      <c r="B654" s="127"/>
    </row>
    <row r="655" spans="1:2">
      <c r="A655" s="127"/>
      <c r="B655" s="127"/>
    </row>
    <row r="656" spans="1:2">
      <c r="A656" s="127"/>
      <c r="B656" s="127"/>
    </row>
    <row r="657" spans="1:2">
      <c r="A657" s="127"/>
      <c r="B657" s="127"/>
    </row>
    <row r="658" spans="1:2">
      <c r="A658" s="127"/>
      <c r="B658" s="127"/>
    </row>
    <row r="659" spans="1:2">
      <c r="A659" s="127"/>
      <c r="B659" s="127"/>
    </row>
    <row r="660" spans="1:2">
      <c r="A660" s="127"/>
      <c r="B660" s="127"/>
    </row>
    <row r="661" spans="1:2">
      <c r="A661" s="127"/>
      <c r="B661" s="127"/>
    </row>
    <row r="662" spans="1:2">
      <c r="A662" s="127"/>
      <c r="B662" s="127"/>
    </row>
    <row r="663" spans="1:2">
      <c r="A663" s="127"/>
      <c r="B663" s="127"/>
    </row>
    <row r="664" spans="1:2">
      <c r="A664" s="127"/>
      <c r="B664" s="127"/>
    </row>
    <row r="665" spans="1:2">
      <c r="A665" s="127"/>
      <c r="B665" s="127"/>
    </row>
    <row r="666" spans="1:2">
      <c r="A666" s="127"/>
      <c r="B666" s="127"/>
    </row>
    <row r="667" spans="1:2">
      <c r="A667" s="127"/>
      <c r="B667" s="127"/>
    </row>
    <row r="668" spans="1:2">
      <c r="A668" s="127"/>
      <c r="B668" s="127"/>
    </row>
    <row r="669" spans="1:2">
      <c r="A669" s="127"/>
      <c r="B669" s="127"/>
    </row>
    <row r="670" spans="1:2">
      <c r="A670" s="127"/>
      <c r="B670" s="127"/>
    </row>
    <row r="671" spans="1:2">
      <c r="A671" s="127"/>
      <c r="B671" s="127"/>
    </row>
    <row r="672" spans="1:2">
      <c r="A672" s="127"/>
      <c r="B672" s="127"/>
    </row>
    <row r="673" spans="1:2">
      <c r="A673" s="127"/>
      <c r="B673" s="127"/>
    </row>
    <row r="674" spans="1:2">
      <c r="A674" s="127"/>
      <c r="B674" s="127"/>
    </row>
    <row r="675" spans="1:2">
      <c r="A675" s="127"/>
      <c r="B675" s="127"/>
    </row>
    <row r="676" spans="1:2">
      <c r="A676" s="127"/>
      <c r="B676" s="127"/>
    </row>
    <row r="677" spans="1:2">
      <c r="A677" s="127"/>
      <c r="B677" s="127"/>
    </row>
    <row r="678" spans="1:2">
      <c r="A678" s="127"/>
      <c r="B678" s="127"/>
    </row>
    <row r="679" spans="1:2">
      <c r="A679" s="127"/>
      <c r="B679" s="127"/>
    </row>
    <row r="680" spans="1:2">
      <c r="A680" s="127"/>
      <c r="B680" s="127"/>
    </row>
    <row r="681" spans="1:2">
      <c r="A681" s="127"/>
      <c r="B681" s="127"/>
    </row>
    <row r="682" spans="1:2">
      <c r="A682" s="127"/>
      <c r="B682" s="127"/>
    </row>
    <row r="683" spans="1:2">
      <c r="A683" s="127"/>
      <c r="B683" s="127"/>
    </row>
    <row r="684" spans="1:2">
      <c r="A684" s="127"/>
      <c r="B684" s="127"/>
    </row>
    <row r="685" spans="1:2">
      <c r="A685" s="127"/>
      <c r="B685" s="127"/>
    </row>
    <row r="686" spans="1:2">
      <c r="A686" s="127"/>
      <c r="B686" s="127"/>
    </row>
    <row r="687" spans="1:2">
      <c r="A687" s="127"/>
      <c r="B687" s="127"/>
    </row>
    <row r="688" spans="1:2">
      <c r="A688" s="127"/>
      <c r="B688" s="127"/>
    </row>
    <row r="689" spans="1:2">
      <c r="A689" s="127"/>
      <c r="B689" s="127"/>
    </row>
    <row r="690" spans="1:2">
      <c r="A690" s="127"/>
      <c r="B690" s="127"/>
    </row>
    <row r="691" spans="1:2">
      <c r="A691" s="127"/>
      <c r="B691" s="127"/>
    </row>
    <row r="692" spans="1:2">
      <c r="A692" s="127"/>
      <c r="B692" s="127"/>
    </row>
    <row r="693" spans="1:2">
      <c r="A693" s="127"/>
      <c r="B693" s="127"/>
    </row>
    <row r="694" spans="1:2">
      <c r="A694" s="127"/>
      <c r="B694" s="127"/>
    </row>
    <row r="695" spans="1:2">
      <c r="A695" s="127"/>
      <c r="B695" s="127"/>
    </row>
    <row r="696" spans="1:2">
      <c r="A696" s="127"/>
      <c r="B696" s="127"/>
    </row>
    <row r="697" spans="1:2">
      <c r="A697" s="127"/>
      <c r="B697" s="127"/>
    </row>
    <row r="698" spans="1:2">
      <c r="A698" s="127"/>
      <c r="B698" s="127"/>
    </row>
    <row r="699" spans="1:2">
      <c r="A699" s="127"/>
      <c r="B699" s="127"/>
    </row>
    <row r="700" spans="1:2">
      <c r="A700" s="127"/>
      <c r="B700" s="127"/>
    </row>
    <row r="701" spans="1:2">
      <c r="A701" s="127"/>
      <c r="B701" s="127"/>
    </row>
    <row r="702" spans="1:2">
      <c r="A702" s="127"/>
      <c r="B702" s="127"/>
    </row>
    <row r="703" spans="1:2">
      <c r="A703" s="127"/>
      <c r="B703" s="127"/>
    </row>
    <row r="704" spans="1:2">
      <c r="A704" s="127"/>
      <c r="B704" s="127"/>
    </row>
    <row r="705" spans="1:2">
      <c r="A705" s="127"/>
      <c r="B705" s="127"/>
    </row>
    <row r="706" spans="1:2">
      <c r="A706" s="127"/>
      <c r="B706" s="127"/>
    </row>
    <row r="707" spans="1:2">
      <c r="A707" s="127"/>
      <c r="B707" s="127"/>
    </row>
    <row r="708" spans="1:2">
      <c r="A708" s="127"/>
      <c r="B708" s="127"/>
    </row>
    <row r="709" spans="1:2">
      <c r="A709" s="127"/>
      <c r="B709" s="127"/>
    </row>
    <row r="710" spans="1:2">
      <c r="A710" s="127"/>
      <c r="B710" s="127"/>
    </row>
    <row r="711" spans="1:2">
      <c r="A711" s="127"/>
      <c r="B711" s="127"/>
    </row>
    <row r="712" spans="1:2">
      <c r="A712" s="127"/>
      <c r="B712" s="127"/>
    </row>
    <row r="713" spans="1:2">
      <c r="A713" s="127"/>
      <c r="B713" s="127"/>
    </row>
    <row r="714" spans="1:2">
      <c r="A714" s="127"/>
      <c r="B714" s="127"/>
    </row>
    <row r="715" spans="1:2">
      <c r="A715" s="127"/>
      <c r="B715" s="127"/>
    </row>
    <row r="716" spans="1:2">
      <c r="A716" s="127"/>
      <c r="B716" s="127"/>
    </row>
    <row r="717" spans="1:2">
      <c r="A717" s="127"/>
      <c r="B717" s="127"/>
    </row>
    <row r="718" spans="1:2">
      <c r="A718" s="127"/>
      <c r="B718" s="127"/>
    </row>
    <row r="719" spans="1:2">
      <c r="A719" s="127"/>
      <c r="B719" s="127"/>
    </row>
    <row r="720" spans="1:2">
      <c r="A720" s="127"/>
      <c r="B720" s="127"/>
    </row>
    <row r="721" spans="1:2">
      <c r="A721" s="127"/>
      <c r="B721" s="127"/>
    </row>
    <row r="722" spans="1:2">
      <c r="A722" s="127"/>
      <c r="B722" s="127"/>
    </row>
    <row r="723" spans="1:2">
      <c r="A723" s="127"/>
      <c r="B723" s="127"/>
    </row>
    <row r="724" spans="1:2">
      <c r="A724" s="127"/>
      <c r="B724" s="127"/>
    </row>
    <row r="725" spans="1:2">
      <c r="A725" s="127"/>
      <c r="B725" s="127"/>
    </row>
    <row r="726" spans="1:2">
      <c r="A726" s="127"/>
      <c r="B726" s="127"/>
    </row>
    <row r="727" spans="1:2">
      <c r="A727" s="127"/>
      <c r="B727" s="127"/>
    </row>
    <row r="728" spans="1:2">
      <c r="A728" s="127"/>
      <c r="B728" s="127"/>
    </row>
    <row r="729" spans="1:2">
      <c r="A729" s="127"/>
      <c r="B729" s="127"/>
    </row>
    <row r="730" spans="1:2">
      <c r="A730" s="127"/>
      <c r="B730" s="127"/>
    </row>
    <row r="731" spans="1:2">
      <c r="A731" s="127"/>
      <c r="B731" s="127"/>
    </row>
    <row r="732" spans="1:2">
      <c r="A732" s="127"/>
      <c r="B732" s="127"/>
    </row>
    <row r="733" spans="1:2">
      <c r="A733" s="127"/>
      <c r="B733" s="127"/>
    </row>
    <row r="734" spans="1:2">
      <c r="A734" s="127"/>
      <c r="B734" s="127"/>
    </row>
    <row r="735" spans="1:2">
      <c r="A735" s="127"/>
      <c r="B735" s="127"/>
    </row>
    <row r="736" spans="1:2">
      <c r="A736" s="127"/>
      <c r="B736" s="127"/>
    </row>
    <row r="737" spans="1:2">
      <c r="A737" s="127"/>
      <c r="B737" s="127"/>
    </row>
    <row r="738" spans="1:2">
      <c r="A738" s="127"/>
      <c r="B738" s="127"/>
    </row>
    <row r="739" spans="1:2">
      <c r="A739" s="127"/>
      <c r="B739" s="127"/>
    </row>
    <row r="740" spans="1:2">
      <c r="A740" s="127"/>
      <c r="B740" s="127"/>
    </row>
    <row r="741" spans="1:2">
      <c r="A741" s="127"/>
      <c r="B741" s="127"/>
    </row>
    <row r="742" spans="1:2">
      <c r="A742" s="127"/>
      <c r="B742" s="127"/>
    </row>
    <row r="743" spans="1:2">
      <c r="A743" s="127"/>
      <c r="B743" s="127"/>
    </row>
    <row r="744" spans="1:2">
      <c r="A744" s="127"/>
      <c r="B744" s="127"/>
    </row>
    <row r="745" spans="1:2">
      <c r="A745" s="127"/>
      <c r="B745" s="127"/>
    </row>
    <row r="746" spans="1:2">
      <c r="A746" s="127"/>
      <c r="B746" s="127"/>
    </row>
    <row r="747" spans="1:2">
      <c r="A747" s="127"/>
      <c r="B747" s="127"/>
    </row>
    <row r="748" spans="1:2">
      <c r="A748" s="127"/>
      <c r="B748" s="127"/>
    </row>
    <row r="749" spans="1:2">
      <c r="A749" s="127"/>
      <c r="B749" s="127"/>
    </row>
    <row r="750" spans="1:2">
      <c r="A750" s="127"/>
      <c r="B750" s="127"/>
    </row>
    <row r="751" spans="1:2">
      <c r="A751" s="127"/>
      <c r="B751" s="127"/>
    </row>
    <row r="752" spans="1:2">
      <c r="A752" s="127"/>
      <c r="B752" s="127"/>
    </row>
    <row r="753" spans="1:2">
      <c r="A753" s="127"/>
      <c r="B753" s="127"/>
    </row>
    <row r="754" spans="1:2">
      <c r="A754" s="127"/>
      <c r="B754" s="127"/>
    </row>
    <row r="755" spans="1:2">
      <c r="A755" s="127"/>
      <c r="B755" s="127"/>
    </row>
    <row r="756" spans="1:2">
      <c r="A756" s="127"/>
      <c r="B756" s="127"/>
    </row>
    <row r="757" spans="1:2">
      <c r="A757" s="127"/>
      <c r="B757" s="127"/>
    </row>
    <row r="758" spans="1:2">
      <c r="A758" s="127"/>
      <c r="B758" s="127"/>
    </row>
    <row r="759" spans="1:2">
      <c r="A759" s="127"/>
      <c r="B759" s="127"/>
    </row>
    <row r="760" spans="1:2">
      <c r="A760" s="127"/>
      <c r="B760" s="127"/>
    </row>
    <row r="761" spans="1:2">
      <c r="A761" s="127"/>
      <c r="B761" s="127"/>
    </row>
    <row r="762" spans="1:2">
      <c r="A762" s="127"/>
      <c r="B762" s="127"/>
    </row>
    <row r="763" spans="1:2">
      <c r="A763" s="127"/>
      <c r="B763" s="127"/>
    </row>
    <row r="764" spans="1:2">
      <c r="A764" s="127"/>
      <c r="B764" s="127"/>
    </row>
    <row r="765" spans="1:2">
      <c r="A765" s="127"/>
      <c r="B765" s="127"/>
    </row>
    <row r="766" spans="1:2">
      <c r="A766" s="127"/>
      <c r="B766" s="127"/>
    </row>
    <row r="767" spans="1:2">
      <c r="A767" s="127"/>
      <c r="B767" s="127"/>
    </row>
    <row r="768" spans="1:2">
      <c r="A768" s="127"/>
      <c r="B768" s="127"/>
    </row>
    <row r="769" spans="1:2">
      <c r="A769" s="127"/>
      <c r="B769" s="127"/>
    </row>
    <row r="770" spans="1:2">
      <c r="A770" s="127"/>
      <c r="B770" s="127"/>
    </row>
    <row r="771" spans="1:2">
      <c r="A771" s="127"/>
      <c r="B771" s="127"/>
    </row>
    <row r="772" spans="1:2">
      <c r="A772" s="127"/>
      <c r="B772" s="127"/>
    </row>
    <row r="773" spans="1:2">
      <c r="A773" s="127"/>
      <c r="B773" s="127"/>
    </row>
    <row r="774" spans="1:2">
      <c r="A774" s="127"/>
      <c r="B774" s="127"/>
    </row>
    <row r="775" spans="1:2">
      <c r="A775" s="127"/>
      <c r="B775" s="127"/>
    </row>
    <row r="776" spans="1:2">
      <c r="A776" s="127"/>
      <c r="B776" s="127"/>
    </row>
    <row r="777" spans="1:2">
      <c r="A777" s="127"/>
      <c r="B777" s="127"/>
    </row>
    <row r="778" spans="1:2">
      <c r="A778" s="127"/>
      <c r="B778" s="127"/>
    </row>
    <row r="779" spans="1:2">
      <c r="A779" s="127"/>
      <c r="B779" s="127"/>
    </row>
    <row r="780" spans="1:2">
      <c r="A780" s="127"/>
      <c r="B780" s="127"/>
    </row>
    <row r="781" spans="1:2">
      <c r="A781" s="127"/>
      <c r="B781" s="127"/>
    </row>
    <row r="782" spans="1:2">
      <c r="A782" s="127"/>
      <c r="B782" s="127"/>
    </row>
    <row r="783" spans="1:2">
      <c r="A783" s="127"/>
      <c r="B783" s="127"/>
    </row>
    <row r="784" spans="1:2">
      <c r="A784" s="127"/>
      <c r="B784" s="127"/>
    </row>
    <row r="785" spans="1:2">
      <c r="A785" s="127"/>
      <c r="B785" s="127"/>
    </row>
    <row r="786" spans="1:2">
      <c r="A786" s="127"/>
      <c r="B786" s="127"/>
    </row>
    <row r="787" spans="1:2">
      <c r="A787" s="127"/>
      <c r="B787" s="127"/>
    </row>
    <row r="788" spans="1:2">
      <c r="A788" s="127"/>
      <c r="B788" s="127"/>
    </row>
    <row r="789" spans="1:2">
      <c r="A789" s="127"/>
      <c r="B789" s="127"/>
    </row>
    <row r="790" spans="1:2">
      <c r="A790" s="127"/>
      <c r="B790" s="127"/>
    </row>
    <row r="791" spans="1:2">
      <c r="A791" s="127"/>
      <c r="B791" s="127"/>
    </row>
    <row r="792" spans="1:2">
      <c r="A792" s="127"/>
      <c r="B792" s="127"/>
    </row>
    <row r="793" spans="1:2">
      <c r="A793" s="127"/>
      <c r="B793" s="127"/>
    </row>
    <row r="794" spans="1:2">
      <c r="A794" s="127"/>
      <c r="B794" s="127"/>
    </row>
    <row r="795" spans="1:2">
      <c r="A795" s="127"/>
      <c r="B795" s="127"/>
    </row>
    <row r="796" spans="1:2">
      <c r="A796" s="127"/>
      <c r="B796" s="127"/>
    </row>
    <row r="797" spans="1:2">
      <c r="A797" s="127"/>
      <c r="B797" s="127"/>
    </row>
    <row r="798" spans="1:2">
      <c r="A798" s="127"/>
      <c r="B798" s="127"/>
    </row>
    <row r="799" spans="1:2">
      <c r="A799" s="127"/>
      <c r="B799" s="127"/>
    </row>
    <row r="800" spans="1:2">
      <c r="A800" s="127"/>
      <c r="B800" s="127"/>
    </row>
    <row r="801" spans="1:2">
      <c r="A801" s="127"/>
      <c r="B801" s="127"/>
    </row>
    <row r="802" spans="1:2">
      <c r="A802" s="127"/>
      <c r="B802" s="127"/>
    </row>
    <row r="803" spans="1:2">
      <c r="A803" s="127"/>
      <c r="B803" s="127"/>
    </row>
    <row r="804" spans="1:2">
      <c r="A804" s="127"/>
      <c r="B804" s="127"/>
    </row>
    <row r="805" spans="1:2">
      <c r="A805" s="127"/>
      <c r="B805" s="127"/>
    </row>
    <row r="806" spans="1:2">
      <c r="A806" s="127"/>
      <c r="B806" s="127"/>
    </row>
    <row r="807" spans="1:2">
      <c r="A807" s="127"/>
      <c r="B807" s="127"/>
    </row>
    <row r="808" spans="1:2">
      <c r="A808" s="127"/>
      <c r="B808" s="127"/>
    </row>
    <row r="809" spans="1:2">
      <c r="A809" s="127"/>
      <c r="B809" s="127"/>
    </row>
    <row r="810" spans="1:2">
      <c r="A810" s="127"/>
      <c r="B810" s="127"/>
    </row>
    <row r="811" spans="1:2">
      <c r="A811" s="127"/>
      <c r="B811" s="127"/>
    </row>
    <row r="812" spans="1:2">
      <c r="A812" s="127"/>
      <c r="B812" s="127"/>
    </row>
    <row r="813" spans="1:2">
      <c r="A813" s="127"/>
      <c r="B813" s="127"/>
    </row>
    <row r="814" spans="1:2">
      <c r="A814" s="127"/>
      <c r="B814" s="127"/>
    </row>
    <row r="815" spans="1:2">
      <c r="A815" s="127"/>
      <c r="B815" s="127"/>
    </row>
    <row r="816" spans="1:2">
      <c r="A816" s="127"/>
      <c r="B816" s="127"/>
    </row>
    <row r="817" spans="1:2">
      <c r="A817" s="127"/>
      <c r="B817" s="127"/>
    </row>
    <row r="818" spans="1:2">
      <c r="A818" s="127"/>
      <c r="B818" s="127"/>
    </row>
    <row r="819" spans="1:2">
      <c r="A819" s="127"/>
      <c r="B819" s="127"/>
    </row>
    <row r="820" spans="1:2">
      <c r="A820" s="127"/>
      <c r="B820" s="127"/>
    </row>
    <row r="821" spans="1:2">
      <c r="A821" s="127"/>
      <c r="B821" s="127"/>
    </row>
    <row r="822" spans="1:2">
      <c r="A822" s="127"/>
      <c r="B822" s="127"/>
    </row>
    <row r="823" spans="1:2">
      <c r="A823" s="127"/>
      <c r="B823" s="127"/>
    </row>
    <row r="824" spans="1:2">
      <c r="A824" s="127"/>
      <c r="B824" s="127"/>
    </row>
    <row r="825" spans="1:2">
      <c r="A825" s="127"/>
      <c r="B825" s="127"/>
    </row>
    <row r="826" spans="1:2">
      <c r="A826" s="127"/>
      <c r="B826" s="127"/>
    </row>
    <row r="827" spans="1:2">
      <c r="A827" s="127"/>
      <c r="B827" s="127"/>
    </row>
    <row r="828" spans="1:2">
      <c r="A828" s="127"/>
      <c r="B828" s="127"/>
    </row>
    <row r="829" spans="1:2">
      <c r="A829" s="127"/>
      <c r="B829" s="127"/>
    </row>
    <row r="830" spans="1:2">
      <c r="A830" s="127"/>
      <c r="B830" s="127"/>
    </row>
    <row r="831" spans="1:2">
      <c r="A831" s="127"/>
      <c r="B831" s="127"/>
    </row>
    <row r="832" spans="1:2">
      <c r="A832" s="127"/>
      <c r="B832" s="127"/>
    </row>
    <row r="833" spans="1:2">
      <c r="A833" s="127"/>
      <c r="B833" s="127"/>
    </row>
    <row r="834" spans="1:2">
      <c r="A834" s="127"/>
      <c r="B834" s="127"/>
    </row>
    <row r="835" spans="1:2">
      <c r="A835" s="127"/>
      <c r="B835" s="127"/>
    </row>
    <row r="836" spans="1:2">
      <c r="A836" s="127"/>
      <c r="B836" s="127"/>
    </row>
    <row r="837" spans="1:2">
      <c r="A837" s="127"/>
      <c r="B837" s="127"/>
    </row>
    <row r="838" spans="1:2">
      <c r="A838" s="127"/>
      <c r="B838" s="127"/>
    </row>
    <row r="839" spans="1:2">
      <c r="A839" s="127"/>
      <c r="B839" s="127"/>
    </row>
    <row r="840" spans="1:2">
      <c r="A840" s="127"/>
      <c r="B840" s="127"/>
    </row>
    <row r="841" spans="1:2">
      <c r="A841" s="127"/>
      <c r="B841" s="127"/>
    </row>
    <row r="842" spans="1:2">
      <c r="A842" s="127"/>
      <c r="B842" s="127"/>
    </row>
    <row r="843" spans="1:2">
      <c r="A843" s="127"/>
      <c r="B843" s="127"/>
    </row>
    <row r="844" spans="1:2">
      <c r="A844" s="127"/>
      <c r="B844" s="127"/>
    </row>
    <row r="845" spans="1:2">
      <c r="A845" s="127"/>
      <c r="B845" s="127"/>
    </row>
    <row r="846" spans="1:2">
      <c r="A846" s="127"/>
      <c r="B846" s="127"/>
    </row>
    <row r="847" spans="1:2">
      <c r="A847" s="127"/>
      <c r="B847" s="127"/>
    </row>
    <row r="848" spans="1:2">
      <c r="A848" s="127"/>
      <c r="B848" s="127"/>
    </row>
    <row r="849" spans="1:2">
      <c r="A849" s="127"/>
      <c r="B849" s="127"/>
    </row>
    <row r="850" spans="1:2">
      <c r="A850" s="127"/>
      <c r="B850" s="127"/>
    </row>
    <row r="851" spans="1:2">
      <c r="A851" s="127"/>
      <c r="B851" s="127"/>
    </row>
    <row r="852" spans="1:2">
      <c r="A852" s="127"/>
      <c r="B852" s="127"/>
    </row>
    <row r="853" spans="1:2">
      <c r="A853" s="127"/>
      <c r="B853" s="127"/>
    </row>
    <row r="854" spans="1:2">
      <c r="A854" s="127"/>
      <c r="B854" s="127"/>
    </row>
    <row r="855" spans="1:2">
      <c r="A855" s="127"/>
      <c r="B855" s="127"/>
    </row>
    <row r="856" spans="1:2">
      <c r="A856" s="127"/>
      <c r="B856" s="127"/>
    </row>
    <row r="857" spans="1:2">
      <c r="A857" s="127"/>
      <c r="B857" s="127"/>
    </row>
    <row r="858" spans="1:2">
      <c r="A858" s="127"/>
      <c r="B858" s="127"/>
    </row>
    <row r="859" spans="1:2">
      <c r="A859" s="127"/>
      <c r="B859" s="127"/>
    </row>
    <row r="860" spans="1:2">
      <c r="A860" s="127"/>
      <c r="B860" s="127"/>
    </row>
    <row r="861" spans="1:2">
      <c r="A861" s="127"/>
      <c r="B861" s="127"/>
    </row>
    <row r="862" spans="1:2">
      <c r="A862" s="127"/>
      <c r="B862" s="127"/>
    </row>
    <row r="863" spans="1:2">
      <c r="A863" s="127"/>
      <c r="B863" s="127"/>
    </row>
    <row r="864" spans="1:2">
      <c r="A864" s="127"/>
      <c r="B864" s="127"/>
    </row>
    <row r="865" spans="1:2">
      <c r="A865" s="127"/>
      <c r="B865" s="127"/>
    </row>
    <row r="866" spans="1:2">
      <c r="A866" s="127"/>
      <c r="B866" s="127"/>
    </row>
    <row r="867" spans="1:2">
      <c r="A867" s="127"/>
      <c r="B867" s="127"/>
    </row>
    <row r="868" spans="1:2">
      <c r="A868" s="127"/>
      <c r="B868" s="127"/>
    </row>
    <row r="869" spans="1:2">
      <c r="A869" s="127"/>
      <c r="B869" s="127"/>
    </row>
    <row r="870" spans="1:2">
      <c r="A870" s="127"/>
      <c r="B870" s="127"/>
    </row>
    <row r="871" spans="1:2">
      <c r="A871" s="127"/>
      <c r="B871" s="127"/>
    </row>
    <row r="872" spans="1:2">
      <c r="A872" s="127"/>
      <c r="B872" s="127"/>
    </row>
    <row r="873" spans="1:2">
      <c r="A873" s="127"/>
      <c r="B873" s="127"/>
    </row>
    <row r="874" spans="1:2">
      <c r="A874" s="127"/>
      <c r="B874" s="127"/>
    </row>
    <row r="875" spans="1:2">
      <c r="A875" s="127"/>
      <c r="B875" s="127"/>
    </row>
    <row r="876" spans="1:2">
      <c r="A876" s="127"/>
      <c r="B876" s="127"/>
    </row>
    <row r="877" spans="1:2">
      <c r="A877" s="127"/>
      <c r="B877" s="127"/>
    </row>
    <row r="878" spans="1:2">
      <c r="A878" s="127"/>
      <c r="B878" s="127"/>
    </row>
    <row r="879" spans="1:2">
      <c r="A879" s="127"/>
      <c r="B879" s="127"/>
    </row>
    <row r="880" spans="1:2">
      <c r="A880" s="127"/>
      <c r="B880" s="127"/>
    </row>
    <row r="881" spans="1:2">
      <c r="A881" s="127"/>
      <c r="B881" s="127"/>
    </row>
    <row r="882" spans="1:2">
      <c r="A882" s="127"/>
      <c r="B882" s="127"/>
    </row>
    <row r="883" spans="1:2">
      <c r="A883" s="127"/>
      <c r="B883" s="127"/>
    </row>
    <row r="884" spans="1:2">
      <c r="A884" s="127"/>
      <c r="B884" s="127"/>
    </row>
    <row r="885" spans="1:2">
      <c r="A885" s="127"/>
      <c r="B885" s="127"/>
    </row>
    <row r="886" spans="1:2">
      <c r="A886" s="127"/>
      <c r="B886" s="127"/>
    </row>
    <row r="887" spans="1:2">
      <c r="A887" s="127"/>
      <c r="B887" s="127"/>
    </row>
    <row r="888" spans="1:2">
      <c r="A888" s="127"/>
      <c r="B888" s="127"/>
    </row>
    <row r="889" spans="1:2">
      <c r="A889" s="127"/>
      <c r="B889" s="127"/>
    </row>
    <row r="890" spans="1:2">
      <c r="A890" s="127"/>
      <c r="B890" s="127"/>
    </row>
    <row r="891" spans="1:2">
      <c r="A891" s="127"/>
      <c r="B891" s="127"/>
    </row>
    <row r="892" spans="1:2">
      <c r="A892" s="127"/>
      <c r="B892" s="127"/>
    </row>
    <row r="893" spans="1:2">
      <c r="A893" s="127"/>
      <c r="B893" s="127"/>
    </row>
    <row r="894" spans="1:2">
      <c r="A894" s="127"/>
      <c r="B894" s="127"/>
    </row>
    <row r="895" spans="1:2">
      <c r="A895" s="127"/>
      <c r="B895" s="127"/>
    </row>
    <row r="896" spans="1:2">
      <c r="A896" s="127"/>
      <c r="B896" s="127"/>
    </row>
    <row r="897" spans="1:2">
      <c r="A897" s="127"/>
      <c r="B897" s="127"/>
    </row>
    <row r="898" spans="1:2">
      <c r="A898" s="127"/>
      <c r="B898" s="127"/>
    </row>
    <row r="899" spans="1:2">
      <c r="A899" s="127"/>
      <c r="B899" s="127"/>
    </row>
    <row r="900" spans="1:2">
      <c r="A900" s="127"/>
      <c r="B900" s="127"/>
    </row>
    <row r="901" spans="1:2">
      <c r="A901" s="127"/>
      <c r="B901" s="127"/>
    </row>
    <row r="902" spans="1:2">
      <c r="A902" s="127"/>
      <c r="B902" s="127"/>
    </row>
    <row r="903" spans="1:2">
      <c r="A903" s="127"/>
      <c r="B903" s="127"/>
    </row>
    <row r="904" spans="1:2">
      <c r="A904" s="127"/>
      <c r="B904" s="127"/>
    </row>
    <row r="905" spans="1:2">
      <c r="A905" s="127"/>
      <c r="B905" s="127"/>
    </row>
    <row r="906" spans="1:2">
      <c r="A906" s="127"/>
      <c r="B906" s="127"/>
    </row>
    <row r="907" spans="1:2">
      <c r="A907" s="127"/>
      <c r="B907" s="127"/>
    </row>
    <row r="908" spans="1:2">
      <c r="A908" s="127"/>
      <c r="B908" s="127"/>
    </row>
    <row r="909" spans="1:2">
      <c r="A909" s="127"/>
      <c r="B909" s="127"/>
    </row>
    <row r="910" spans="1:2">
      <c r="A910" s="127"/>
      <c r="B910" s="127"/>
    </row>
    <row r="911" spans="1:2">
      <c r="A911" s="127"/>
      <c r="B911" s="127"/>
    </row>
    <row r="912" spans="1:2">
      <c r="A912" s="127"/>
      <c r="B912" s="127"/>
    </row>
    <row r="913" spans="1:2">
      <c r="A913" s="127"/>
      <c r="B913" s="127"/>
    </row>
    <row r="914" spans="1:2">
      <c r="A914" s="127"/>
      <c r="B914" s="127"/>
    </row>
    <row r="915" spans="1:2">
      <c r="A915" s="127"/>
      <c r="B915" s="127"/>
    </row>
    <row r="916" spans="1:2">
      <c r="A916" s="127"/>
      <c r="B916" s="127"/>
    </row>
    <row r="917" spans="1:2">
      <c r="A917" s="127"/>
      <c r="B917" s="127"/>
    </row>
    <row r="918" spans="1:2">
      <c r="A918" s="127"/>
      <c r="B918" s="127"/>
    </row>
    <row r="919" spans="1:2">
      <c r="A919" s="127"/>
      <c r="B919" s="127"/>
    </row>
    <row r="920" spans="1:2">
      <c r="A920" s="127"/>
      <c r="B920" s="127"/>
    </row>
    <row r="921" spans="1:2">
      <c r="A921" s="127"/>
      <c r="B921" s="127"/>
    </row>
    <row r="922" spans="1:2">
      <c r="A922" s="127"/>
      <c r="B922" s="127"/>
    </row>
    <row r="923" spans="1:2">
      <c r="A923" s="127"/>
      <c r="B923" s="127"/>
    </row>
    <row r="924" spans="1:2">
      <c r="A924" s="127"/>
      <c r="B924" s="127"/>
    </row>
    <row r="925" spans="1:2">
      <c r="A925" s="127"/>
      <c r="B925" s="127"/>
    </row>
    <row r="926" spans="1:2">
      <c r="A926" s="127"/>
      <c r="B926" s="127"/>
    </row>
    <row r="927" spans="1:2">
      <c r="A927" s="127"/>
      <c r="B927" s="127"/>
    </row>
    <row r="928" spans="1:2">
      <c r="A928" s="127"/>
      <c r="B928" s="127"/>
    </row>
    <row r="929" spans="1:2">
      <c r="A929" s="127"/>
      <c r="B929" s="127"/>
    </row>
    <row r="930" spans="1:2">
      <c r="A930" s="127"/>
      <c r="B930" s="127"/>
    </row>
    <row r="931" spans="1:2">
      <c r="A931" s="127"/>
      <c r="B931" s="127"/>
    </row>
    <row r="932" spans="1:2">
      <c r="A932" s="127"/>
      <c r="B932" s="127"/>
    </row>
    <row r="933" spans="1:2">
      <c r="A933" s="127"/>
      <c r="B933" s="127"/>
    </row>
    <row r="934" spans="1:2">
      <c r="A934" s="127"/>
      <c r="B934" s="127"/>
    </row>
    <row r="935" spans="1:2">
      <c r="A935" s="127"/>
      <c r="B935" s="127"/>
    </row>
    <row r="936" spans="1:2">
      <c r="A936" s="127"/>
      <c r="B936" s="127"/>
    </row>
    <row r="937" spans="1:2">
      <c r="A937" s="127"/>
      <c r="B937" s="127"/>
    </row>
    <row r="938" spans="1:2">
      <c r="A938" s="127"/>
      <c r="B938" s="127"/>
    </row>
    <row r="939" spans="1:2">
      <c r="A939" s="127"/>
      <c r="B939" s="127"/>
    </row>
    <row r="940" spans="1:2">
      <c r="A940" s="127"/>
      <c r="B940" s="127"/>
    </row>
    <row r="941" spans="1:2">
      <c r="A941" s="127"/>
      <c r="B941" s="127"/>
    </row>
    <row r="942" spans="1:2">
      <c r="A942" s="127"/>
      <c r="B942" s="127"/>
    </row>
    <row r="943" spans="1:2">
      <c r="A943" s="127"/>
      <c r="B943" s="127"/>
    </row>
    <row r="944" spans="1:2">
      <c r="A944" s="127"/>
      <c r="B944" s="127"/>
    </row>
    <row r="945" spans="1:2">
      <c r="A945" s="127"/>
      <c r="B945" s="127"/>
    </row>
    <row r="946" spans="1:2">
      <c r="A946" s="127"/>
      <c r="B946" s="127"/>
    </row>
    <row r="947" spans="1:2">
      <c r="A947" s="127"/>
      <c r="B947" s="127"/>
    </row>
    <row r="948" spans="1:2">
      <c r="A948" s="127"/>
      <c r="B948" s="127"/>
    </row>
    <row r="949" spans="1:2">
      <c r="A949" s="127"/>
      <c r="B949" s="127"/>
    </row>
    <row r="950" spans="1:2">
      <c r="A950" s="127"/>
      <c r="B950" s="127"/>
    </row>
    <row r="951" spans="1:2">
      <c r="A951" s="127"/>
      <c r="B951" s="127"/>
    </row>
    <row r="952" spans="1:2">
      <c r="A952" s="127"/>
      <c r="B952" s="127"/>
    </row>
    <row r="953" spans="1:2">
      <c r="A953" s="127"/>
      <c r="B953" s="127"/>
    </row>
    <row r="954" spans="1:2">
      <c r="A954" s="127"/>
      <c r="B954" s="127"/>
    </row>
    <row r="955" spans="1:2">
      <c r="A955" s="127"/>
      <c r="B955" s="127"/>
    </row>
    <row r="956" spans="1:2">
      <c r="A956" s="127"/>
      <c r="B956" s="127"/>
    </row>
    <row r="957" spans="1:2">
      <c r="A957" s="127"/>
      <c r="B957" s="127"/>
    </row>
    <row r="958" spans="1:2">
      <c r="A958" s="127"/>
      <c r="B958" s="127"/>
    </row>
    <row r="959" spans="1:2">
      <c r="A959" s="127"/>
      <c r="B959" s="127"/>
    </row>
    <row r="960" spans="1:2">
      <c r="A960" s="127"/>
      <c r="B960" s="127"/>
    </row>
    <row r="961" spans="1:2">
      <c r="A961" s="127"/>
      <c r="B961" s="127"/>
    </row>
    <row r="962" spans="1:2">
      <c r="A962" s="127"/>
      <c r="B962" s="127"/>
    </row>
    <row r="963" spans="1:2">
      <c r="A963" s="127"/>
      <c r="B963" s="127"/>
    </row>
    <row r="964" spans="1:2">
      <c r="A964" s="127"/>
      <c r="B964" s="127"/>
    </row>
    <row r="965" spans="1:2">
      <c r="A965" s="127"/>
      <c r="B965" s="127"/>
    </row>
    <row r="966" spans="1:2">
      <c r="A966" s="127"/>
      <c r="B966" s="127"/>
    </row>
    <row r="967" spans="1:2">
      <c r="A967" s="127"/>
      <c r="B967" s="127"/>
    </row>
    <row r="968" spans="1:2">
      <c r="A968" s="127"/>
      <c r="B968" s="127"/>
    </row>
    <row r="969" spans="1:2">
      <c r="A969" s="127"/>
      <c r="B969" s="127"/>
    </row>
    <row r="970" spans="1:2">
      <c r="A970" s="127"/>
      <c r="B970" s="127"/>
    </row>
    <row r="971" spans="1:2">
      <c r="A971" s="127"/>
      <c r="B971" s="127"/>
    </row>
    <row r="972" spans="1:2">
      <c r="A972" s="127"/>
      <c r="B972" s="127"/>
    </row>
    <row r="973" spans="1:2">
      <c r="A973" s="127"/>
      <c r="B973" s="127"/>
    </row>
    <row r="974" spans="1:2">
      <c r="A974" s="127"/>
      <c r="B974" s="127"/>
    </row>
    <row r="975" spans="1:2">
      <c r="A975" s="127"/>
      <c r="B975" s="127"/>
    </row>
    <row r="976" spans="1:2">
      <c r="A976" s="127"/>
      <c r="B976" s="127"/>
    </row>
    <row r="977" spans="1:2">
      <c r="A977" s="127"/>
      <c r="B977" s="127"/>
    </row>
    <row r="978" spans="1:2">
      <c r="A978" s="127"/>
      <c r="B978" s="127"/>
    </row>
    <row r="979" spans="1:2">
      <c r="A979" s="127"/>
      <c r="B979" s="127"/>
    </row>
    <row r="980" spans="1:2">
      <c r="A980" s="127"/>
      <c r="B980" s="127"/>
    </row>
    <row r="981" spans="1:2">
      <c r="A981" s="127"/>
      <c r="B981" s="127"/>
    </row>
    <row r="982" spans="1:2">
      <c r="A982" s="127"/>
      <c r="B982" s="127"/>
    </row>
    <row r="983" spans="1:2">
      <c r="A983" s="127"/>
      <c r="B983" s="127"/>
    </row>
    <row r="984" spans="1:2">
      <c r="A984" s="127"/>
      <c r="B984" s="127"/>
    </row>
    <row r="985" spans="1:2">
      <c r="A985" s="127"/>
      <c r="B985" s="127"/>
    </row>
    <row r="986" spans="1:2">
      <c r="A986" s="127"/>
      <c r="B986" s="127"/>
    </row>
    <row r="987" spans="1:2">
      <c r="A987" s="127"/>
      <c r="B987" s="127"/>
    </row>
    <row r="988" spans="1:2">
      <c r="A988" s="127"/>
      <c r="B988" s="127"/>
    </row>
    <row r="989" spans="1:2">
      <c r="A989" s="127"/>
      <c r="B989" s="127"/>
    </row>
    <row r="990" spans="1:2">
      <c r="A990" s="127"/>
      <c r="B990" s="127"/>
    </row>
    <row r="991" spans="1:2">
      <c r="A991" s="127"/>
      <c r="B991" s="127"/>
    </row>
    <row r="992" spans="1:2">
      <c r="A992" s="127"/>
      <c r="B992" s="127"/>
    </row>
    <row r="993" spans="1:2">
      <c r="A993" s="127"/>
      <c r="B993" s="127"/>
    </row>
    <row r="994" spans="1:2">
      <c r="A994" s="127"/>
      <c r="B994" s="127"/>
    </row>
    <row r="995" spans="1:2">
      <c r="A995" s="127"/>
      <c r="B995" s="127"/>
    </row>
    <row r="996" spans="1:2">
      <c r="A996" s="127"/>
      <c r="B996" s="127"/>
    </row>
    <row r="997" spans="1:2">
      <c r="A997" s="127"/>
      <c r="B997" s="127"/>
    </row>
    <row r="998" spans="1:2">
      <c r="A998" s="127"/>
      <c r="B998" s="127"/>
    </row>
    <row r="999" spans="1:2">
      <c r="A999" s="127"/>
      <c r="B999" s="127"/>
    </row>
    <row r="1000" spans="1:2">
      <c r="A1000" s="127"/>
      <c r="B1000" s="127"/>
    </row>
    <row r="1001" spans="1:2">
      <c r="A1001" s="127"/>
      <c r="B1001" s="127"/>
    </row>
    <row r="1002" spans="1:2">
      <c r="A1002" s="127"/>
      <c r="B1002" s="127"/>
    </row>
    <row r="1003" spans="1:2">
      <c r="A1003" s="127"/>
      <c r="B1003" s="127"/>
    </row>
    <row r="1004" spans="1:2">
      <c r="A1004" s="127"/>
      <c r="B1004" s="127"/>
    </row>
  </sheetData>
  <autoFilter ref="A3:G51" xr:uid="{4F333439-9C46-45BA-B9BC-0539DF2BD4E2}"/>
  <sortState xmlns:xlrd2="http://schemas.microsoft.com/office/spreadsheetml/2017/richdata2" ref="B43:D75">
    <sortCondition ref="D42:D75"/>
  </sortState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ED5F-ECE1-4F7E-9B04-74637581C1EF}">
  <sheetPr filterMode="1">
    <tabColor rgb="FF92D050"/>
  </sheetPr>
  <dimension ref="A1:P76"/>
  <sheetViews>
    <sheetView tabSelected="1" topLeftCell="B1" workbookViewId="0">
      <selection activeCell="G46" sqref="G46"/>
    </sheetView>
  </sheetViews>
  <sheetFormatPr defaultColWidth="11.42578125" defaultRowHeight="14.45"/>
  <cols>
    <col min="1" max="1" width="3" bestFit="1" customWidth="1"/>
    <col min="2" max="2" width="8.7109375" style="13" customWidth="1"/>
    <col min="3" max="3" width="9.140625" style="93" customWidth="1"/>
    <col min="4" max="4" width="40.42578125" customWidth="1"/>
    <col min="5" max="5" width="15.85546875" style="13" bestFit="1" customWidth="1"/>
    <col min="6" max="6" width="13.5703125" style="13" bestFit="1" customWidth="1"/>
    <col min="7" max="7" width="39.140625" bestFit="1" customWidth="1"/>
    <col min="8" max="8" width="8.85546875" customWidth="1"/>
    <col min="9" max="9" width="6.5703125" bestFit="1" customWidth="1"/>
    <col min="10" max="10" width="4.140625" bestFit="1" customWidth="1"/>
    <col min="11" max="11" width="6.5703125" bestFit="1" customWidth="1"/>
    <col min="12" max="12" width="4.140625" bestFit="1" customWidth="1"/>
    <col min="13" max="13" width="4" customWidth="1"/>
    <col min="14" max="14" width="6.5703125" bestFit="1" customWidth="1"/>
    <col min="15" max="15" width="13.7109375" customWidth="1"/>
    <col min="16" max="16" width="12.5703125" bestFit="1" customWidth="1"/>
  </cols>
  <sheetData>
    <row r="1" spans="1:16">
      <c r="C1" s="419" t="s">
        <v>351</v>
      </c>
      <c r="D1" s="419"/>
      <c r="E1" s="419"/>
      <c r="F1" s="419"/>
      <c r="G1" s="419"/>
    </row>
    <row r="2" spans="1:16">
      <c r="C2" s="419" t="s">
        <v>156</v>
      </c>
      <c r="D2" s="419"/>
      <c r="E2" s="419"/>
      <c r="F2" s="419"/>
      <c r="G2" s="419"/>
    </row>
    <row r="3" spans="1:16">
      <c r="A3" s="8"/>
      <c r="B3" s="8" t="s">
        <v>1</v>
      </c>
      <c r="C3" s="4" t="s">
        <v>352</v>
      </c>
      <c r="D3" s="16" t="s">
        <v>353</v>
      </c>
      <c r="E3" s="5" t="s">
        <v>4</v>
      </c>
      <c r="F3" s="5" t="s">
        <v>5</v>
      </c>
      <c r="G3" s="5" t="s">
        <v>354</v>
      </c>
      <c r="H3" s="92"/>
      <c r="I3" s="11" t="s">
        <v>1</v>
      </c>
      <c r="J3" s="11" t="s">
        <v>355</v>
      </c>
      <c r="K3" s="11" t="s">
        <v>1</v>
      </c>
      <c r="L3" s="11" t="s">
        <v>355</v>
      </c>
      <c r="N3" s="418" t="s">
        <v>356</v>
      </c>
      <c r="O3" s="418"/>
      <c r="P3" s="418"/>
    </row>
    <row r="4" spans="1:16" hidden="1">
      <c r="A4" s="6">
        <v>1</v>
      </c>
      <c r="B4" s="119" t="s">
        <v>172</v>
      </c>
      <c r="C4" s="114">
        <v>8987051</v>
      </c>
      <c r="D4" s="7" t="s">
        <v>269</v>
      </c>
      <c r="E4" s="72">
        <v>1105361073</v>
      </c>
      <c r="F4" s="72">
        <v>3168210805</v>
      </c>
      <c r="G4" s="15" t="s">
        <v>270</v>
      </c>
      <c r="H4" s="13"/>
      <c r="I4" s="11" t="s">
        <v>172</v>
      </c>
      <c r="J4" s="12">
        <f>COUNTIF($B$4:$B$76,I4)</f>
        <v>6</v>
      </c>
      <c r="K4" s="11" t="s">
        <v>181</v>
      </c>
      <c r="L4" s="12">
        <f>COUNTIF($B$4:$B$76,K4)</f>
        <v>6</v>
      </c>
      <c r="N4" s="11" t="s">
        <v>1</v>
      </c>
      <c r="O4" s="11" t="s">
        <v>357</v>
      </c>
      <c r="P4" s="11" t="s">
        <v>358</v>
      </c>
    </row>
    <row r="5" spans="1:16" hidden="1">
      <c r="A5" s="6">
        <v>2</v>
      </c>
      <c r="B5" s="119" t="s">
        <v>172</v>
      </c>
      <c r="C5" s="117">
        <v>8990161</v>
      </c>
      <c r="D5" s="17" t="s">
        <v>347</v>
      </c>
      <c r="E5" s="72">
        <v>1110367161</v>
      </c>
      <c r="F5" s="72">
        <v>3165009752</v>
      </c>
      <c r="G5" s="15" t="s">
        <v>348</v>
      </c>
      <c r="H5" s="13"/>
      <c r="I5" s="11" t="s">
        <v>180</v>
      </c>
      <c r="J5" s="12">
        <f t="shared" ref="J5:J11" si="0">COUNTIF($B$4:$B$76,I5)</f>
        <v>6</v>
      </c>
      <c r="K5" s="11" t="s">
        <v>189</v>
      </c>
      <c r="L5" s="12">
        <f t="shared" ref="L5:L11" si="1">COUNTIF($B$4:$B$76,K5)</f>
        <v>6</v>
      </c>
      <c r="N5" s="11" t="s">
        <v>359</v>
      </c>
      <c r="O5" s="18">
        <v>46104</v>
      </c>
      <c r="P5" s="94">
        <v>46034</v>
      </c>
    </row>
    <row r="6" spans="1:16" hidden="1">
      <c r="A6" s="6">
        <v>3</v>
      </c>
      <c r="B6" s="119" t="s">
        <v>172</v>
      </c>
      <c r="C6" s="114" t="s">
        <v>360</v>
      </c>
      <c r="D6" s="7" t="s">
        <v>311</v>
      </c>
      <c r="E6" s="72">
        <v>1111479995</v>
      </c>
      <c r="F6" s="72">
        <v>3135765629</v>
      </c>
      <c r="G6" s="15" t="s">
        <v>312</v>
      </c>
      <c r="H6" s="13"/>
      <c r="I6" s="11" t="s">
        <v>179</v>
      </c>
      <c r="J6" s="12">
        <f t="shared" si="0"/>
        <v>7</v>
      </c>
      <c r="K6" s="11" t="s">
        <v>188</v>
      </c>
      <c r="L6" s="12">
        <f t="shared" si="1"/>
        <v>6</v>
      </c>
      <c r="N6" s="11" t="s">
        <v>361</v>
      </c>
      <c r="O6" s="94">
        <f>P5</f>
        <v>46034</v>
      </c>
      <c r="P6" s="18">
        <f>O5</f>
        <v>46104</v>
      </c>
    </row>
    <row r="7" spans="1:16" hidden="1">
      <c r="A7" s="6">
        <v>4</v>
      </c>
      <c r="B7" s="119" t="s">
        <v>172</v>
      </c>
      <c r="C7" s="115">
        <v>8979455</v>
      </c>
      <c r="D7" s="38" t="s">
        <v>327</v>
      </c>
      <c r="E7" s="72">
        <v>1091969211</v>
      </c>
      <c r="F7" s="72">
        <v>5871682</v>
      </c>
      <c r="G7" s="15" t="s">
        <v>328</v>
      </c>
      <c r="H7" s="13"/>
      <c r="I7" s="11" t="s">
        <v>178</v>
      </c>
      <c r="J7" s="12">
        <f t="shared" si="0"/>
        <v>6</v>
      </c>
      <c r="K7" s="11" t="s">
        <v>187</v>
      </c>
      <c r="L7" s="12">
        <f t="shared" si="1"/>
        <v>6</v>
      </c>
    </row>
    <row r="8" spans="1:16" hidden="1">
      <c r="A8" s="6">
        <v>5</v>
      </c>
      <c r="B8" s="119" t="s">
        <v>172</v>
      </c>
      <c r="C8" s="115">
        <v>8983554</v>
      </c>
      <c r="D8" s="38" t="s">
        <v>245</v>
      </c>
      <c r="E8" s="72">
        <v>1112157336</v>
      </c>
      <c r="F8" s="72">
        <v>3057462934</v>
      </c>
      <c r="G8" s="15" t="s">
        <v>246</v>
      </c>
      <c r="H8" s="13"/>
      <c r="I8" s="11" t="s">
        <v>177</v>
      </c>
      <c r="J8" s="12">
        <f t="shared" si="0"/>
        <v>6</v>
      </c>
      <c r="K8" s="11" t="s">
        <v>186</v>
      </c>
      <c r="L8" s="12">
        <f t="shared" si="1"/>
        <v>6</v>
      </c>
    </row>
    <row r="9" spans="1:16" hidden="1">
      <c r="A9" s="6">
        <v>6</v>
      </c>
      <c r="B9" s="119" t="s">
        <v>172</v>
      </c>
      <c r="C9" s="115">
        <v>8981100</v>
      </c>
      <c r="D9" s="38" t="s">
        <v>241</v>
      </c>
      <c r="E9" s="72">
        <v>1117499315</v>
      </c>
      <c r="F9" s="72">
        <v>3162784340</v>
      </c>
      <c r="G9" s="15" t="s">
        <v>242</v>
      </c>
      <c r="H9" s="13"/>
      <c r="I9" s="11" t="s">
        <v>176</v>
      </c>
      <c r="J9" s="12">
        <f t="shared" si="0"/>
        <v>6</v>
      </c>
      <c r="K9" s="11" t="s">
        <v>185</v>
      </c>
      <c r="L9" s="12">
        <f t="shared" si="1"/>
        <v>6</v>
      </c>
    </row>
    <row r="10" spans="1:16" hidden="1">
      <c r="A10" s="6">
        <v>7</v>
      </c>
      <c r="B10" s="119" t="s">
        <v>180</v>
      </c>
      <c r="C10" s="115">
        <v>8962787</v>
      </c>
      <c r="D10" s="38" t="s">
        <v>265</v>
      </c>
      <c r="E10" s="72">
        <v>1003380358</v>
      </c>
      <c r="F10" s="72">
        <v>5822674</v>
      </c>
      <c r="G10" s="15" t="s">
        <v>266</v>
      </c>
      <c r="H10" s="13"/>
      <c r="I10" s="11" t="s">
        <v>175</v>
      </c>
      <c r="J10" s="12">
        <f t="shared" si="0"/>
        <v>0</v>
      </c>
      <c r="K10" s="11" t="s">
        <v>184</v>
      </c>
      <c r="L10" s="12">
        <f t="shared" si="1"/>
        <v>0</v>
      </c>
    </row>
    <row r="11" spans="1:16" hidden="1">
      <c r="A11" s="6">
        <v>8</v>
      </c>
      <c r="B11" s="119" t="s">
        <v>180</v>
      </c>
      <c r="C11" s="115">
        <v>8973751</v>
      </c>
      <c r="D11" s="38" t="s">
        <v>323</v>
      </c>
      <c r="E11" s="72">
        <v>1111540756</v>
      </c>
      <c r="F11" s="72">
        <v>3425270</v>
      </c>
      <c r="G11" s="15" t="s">
        <v>324</v>
      </c>
      <c r="H11" s="13"/>
      <c r="I11" s="11" t="s">
        <v>174</v>
      </c>
      <c r="J11" s="12">
        <f t="shared" si="0"/>
        <v>0</v>
      </c>
      <c r="K11" s="11" t="s">
        <v>183</v>
      </c>
      <c r="L11" s="12">
        <f t="shared" si="1"/>
        <v>0</v>
      </c>
    </row>
    <row r="12" spans="1:16" hidden="1">
      <c r="A12" s="6">
        <v>9</v>
      </c>
      <c r="B12" s="119" t="s">
        <v>180</v>
      </c>
      <c r="C12" s="117">
        <v>8985671</v>
      </c>
      <c r="D12" s="17" t="s">
        <v>283</v>
      </c>
      <c r="E12" s="72">
        <v>1105361080</v>
      </c>
      <c r="F12" s="72">
        <v>3183568243</v>
      </c>
      <c r="G12" s="15" t="s">
        <v>284</v>
      </c>
      <c r="H12" s="13"/>
      <c r="I12" s="421">
        <f>SUM(J4:J11)</f>
        <v>37</v>
      </c>
      <c r="J12" s="422"/>
      <c r="K12" s="421">
        <f>SUM(L4:L11)</f>
        <v>36</v>
      </c>
      <c r="L12" s="422"/>
    </row>
    <row r="13" spans="1:16" hidden="1">
      <c r="A13" s="6">
        <v>10</v>
      </c>
      <c r="B13" s="119" t="s">
        <v>180</v>
      </c>
      <c r="C13" s="114">
        <v>8984344</v>
      </c>
      <c r="D13" s="7" t="s">
        <v>218</v>
      </c>
      <c r="E13" s="72">
        <v>1010149500</v>
      </c>
      <c r="F13" s="72">
        <v>3105117731</v>
      </c>
      <c r="G13" s="15" t="s">
        <v>219</v>
      </c>
      <c r="H13" s="13"/>
      <c r="I13" s="420">
        <f>SUBTOTAL(9,J4:J11,L4:L11)</f>
        <v>0</v>
      </c>
      <c r="J13" s="420"/>
      <c r="K13" s="420"/>
      <c r="L13" s="420"/>
    </row>
    <row r="14" spans="1:16" hidden="1">
      <c r="A14" s="6">
        <v>11</v>
      </c>
      <c r="B14" s="119" t="s">
        <v>180</v>
      </c>
      <c r="C14" s="115">
        <v>8990509</v>
      </c>
      <c r="D14" s="38" t="s">
        <v>299</v>
      </c>
      <c r="E14" s="72">
        <v>1080691434</v>
      </c>
      <c r="F14" s="72">
        <v>6027334409</v>
      </c>
      <c r="G14" s="15" t="s">
        <v>300</v>
      </c>
      <c r="H14" s="13"/>
    </row>
    <row r="15" spans="1:16" hidden="1">
      <c r="A15" s="6">
        <v>12</v>
      </c>
      <c r="B15" s="119" t="s">
        <v>180</v>
      </c>
      <c r="C15" s="114">
        <v>8986552</v>
      </c>
      <c r="D15" s="7" t="s">
        <v>329</v>
      </c>
      <c r="E15" s="72">
        <v>1125248127</v>
      </c>
      <c r="F15" s="72">
        <v>3165607144</v>
      </c>
      <c r="G15" s="15" t="s">
        <v>330</v>
      </c>
      <c r="H15" s="13"/>
    </row>
    <row r="16" spans="1:16" hidden="1">
      <c r="A16" s="6">
        <v>13</v>
      </c>
      <c r="B16" s="119" t="s">
        <v>179</v>
      </c>
      <c r="C16" s="114">
        <v>8983785</v>
      </c>
      <c r="D16" s="7" t="s">
        <v>235</v>
      </c>
      <c r="E16" s="72">
        <v>1105361711</v>
      </c>
      <c r="F16" s="72">
        <v>3235823056</v>
      </c>
      <c r="G16" s="15" t="s">
        <v>236</v>
      </c>
      <c r="H16" s="13"/>
    </row>
    <row r="17" spans="1:13" hidden="1">
      <c r="A17" s="6">
        <v>14</v>
      </c>
      <c r="B17" s="119" t="s">
        <v>179</v>
      </c>
      <c r="C17" s="114">
        <v>8975825</v>
      </c>
      <c r="D17" s="7" t="s">
        <v>277</v>
      </c>
      <c r="E17" s="72">
        <v>1010014964</v>
      </c>
      <c r="F17" s="72">
        <v>3219408002</v>
      </c>
      <c r="G17" s="15" t="s">
        <v>278</v>
      </c>
      <c r="H17" s="13"/>
    </row>
    <row r="18" spans="1:13" hidden="1">
      <c r="A18" s="6">
        <v>15</v>
      </c>
      <c r="B18" s="119" t="s">
        <v>179</v>
      </c>
      <c r="C18" s="115">
        <v>8977365</v>
      </c>
      <c r="D18" s="38" t="s">
        <v>222</v>
      </c>
      <c r="E18" s="72">
        <v>1006107064</v>
      </c>
      <c r="F18" s="72">
        <v>3206893242</v>
      </c>
      <c r="G18" s="15" t="s">
        <v>223</v>
      </c>
      <c r="H18" s="13"/>
    </row>
    <row r="19" spans="1:13" hidden="1">
      <c r="A19" s="6">
        <v>16</v>
      </c>
      <c r="B19" s="119" t="s">
        <v>179</v>
      </c>
      <c r="C19" s="115">
        <v>8988761</v>
      </c>
      <c r="D19" s="38" t="s">
        <v>249</v>
      </c>
      <c r="E19" s="72">
        <v>1110367352</v>
      </c>
      <c r="F19" s="72">
        <v>6023783938</v>
      </c>
      <c r="G19" s="15" t="s">
        <v>250</v>
      </c>
      <c r="H19" s="13"/>
      <c r="M19" s="69"/>
    </row>
    <row r="20" spans="1:13" hidden="1">
      <c r="A20" s="6">
        <v>17</v>
      </c>
      <c r="B20" s="119" t="s">
        <v>179</v>
      </c>
      <c r="C20" s="115">
        <v>8987462</v>
      </c>
      <c r="D20" s="38" t="s">
        <v>319</v>
      </c>
      <c r="E20" s="72">
        <v>1107041941</v>
      </c>
      <c r="F20" s="72">
        <v>3138469597</v>
      </c>
      <c r="G20" s="15" t="s">
        <v>320</v>
      </c>
      <c r="H20" s="13"/>
    </row>
    <row r="21" spans="1:13" hidden="1">
      <c r="A21" s="6">
        <v>18</v>
      </c>
      <c r="B21" s="119" t="s">
        <v>179</v>
      </c>
      <c r="C21" s="115">
        <v>8980887</v>
      </c>
      <c r="D21" s="38" t="s">
        <v>341</v>
      </c>
      <c r="E21" s="72">
        <v>1087786741</v>
      </c>
      <c r="F21" s="72">
        <v>6023479622</v>
      </c>
      <c r="G21" s="15" t="s">
        <v>342</v>
      </c>
      <c r="H21" s="13"/>
    </row>
    <row r="22" spans="1:13" hidden="1">
      <c r="A22" s="6">
        <v>19</v>
      </c>
      <c r="B22" s="119" t="s">
        <v>179</v>
      </c>
      <c r="C22" s="115" t="s">
        <v>362</v>
      </c>
      <c r="D22" s="293" t="s">
        <v>363</v>
      </c>
      <c r="E22" s="294">
        <v>1058546571</v>
      </c>
      <c r="F22" s="294">
        <v>3183838966</v>
      </c>
      <c r="G22" s="295" t="s">
        <v>364</v>
      </c>
      <c r="H22" s="92" t="s">
        <v>365</v>
      </c>
    </row>
    <row r="23" spans="1:13" hidden="1">
      <c r="A23" s="6">
        <v>20</v>
      </c>
      <c r="B23" s="119" t="s">
        <v>178</v>
      </c>
      <c r="C23" s="115">
        <v>8975708</v>
      </c>
      <c r="D23" s="38" t="s">
        <v>228</v>
      </c>
      <c r="E23" s="72">
        <v>1108641071</v>
      </c>
      <c r="F23" s="72">
        <v>3386091</v>
      </c>
      <c r="G23" s="15" t="s">
        <v>229</v>
      </c>
      <c r="H23" s="13"/>
    </row>
    <row r="24" spans="1:13" hidden="1">
      <c r="A24" s="6">
        <v>21</v>
      </c>
      <c r="B24" s="119" t="s">
        <v>178</v>
      </c>
      <c r="C24" s="115">
        <v>8966365</v>
      </c>
      <c r="D24" s="38" t="s">
        <v>214</v>
      </c>
      <c r="E24" s="72">
        <v>1005892469</v>
      </c>
      <c r="F24" s="72">
        <v>3138029599</v>
      </c>
      <c r="G24" s="15" t="s">
        <v>215</v>
      </c>
      <c r="H24" s="13"/>
    </row>
    <row r="25" spans="1:13" hidden="1">
      <c r="A25" s="6">
        <v>22</v>
      </c>
      <c r="B25" s="119" t="s">
        <v>178</v>
      </c>
      <c r="C25" s="115">
        <v>8987631</v>
      </c>
      <c r="D25" s="38" t="s">
        <v>281</v>
      </c>
      <c r="E25" s="72">
        <v>1105363001</v>
      </c>
      <c r="F25" s="72">
        <v>3160445073</v>
      </c>
      <c r="G25" s="15" t="s">
        <v>282</v>
      </c>
      <c r="H25" s="13"/>
    </row>
    <row r="26" spans="1:13" hidden="1">
      <c r="A26" s="6">
        <v>23</v>
      </c>
      <c r="B26" s="119" t="s">
        <v>178</v>
      </c>
      <c r="C26" s="116">
        <v>8987715</v>
      </c>
      <c r="D26" s="38" t="s">
        <v>325</v>
      </c>
      <c r="E26" s="72">
        <v>1108642940</v>
      </c>
      <c r="F26" s="72">
        <v>3761626</v>
      </c>
      <c r="G26" s="15" t="s">
        <v>326</v>
      </c>
      <c r="H26" s="13"/>
    </row>
    <row r="27" spans="1:13" hidden="1">
      <c r="A27" s="6">
        <v>24</v>
      </c>
      <c r="B27" s="119" t="s">
        <v>178</v>
      </c>
      <c r="C27" s="115">
        <v>8974921</v>
      </c>
      <c r="D27" s="38" t="s">
        <v>271</v>
      </c>
      <c r="E27" s="72">
        <v>1065583807</v>
      </c>
      <c r="F27" s="72">
        <v>5831469</v>
      </c>
      <c r="G27" s="15" t="s">
        <v>272</v>
      </c>
      <c r="H27" s="13"/>
    </row>
    <row r="28" spans="1:13" hidden="1">
      <c r="A28" s="6">
        <v>25</v>
      </c>
      <c r="B28" s="119" t="s">
        <v>178</v>
      </c>
      <c r="C28" s="115">
        <v>8960690</v>
      </c>
      <c r="D28" s="38" t="s">
        <v>273</v>
      </c>
      <c r="E28" s="72">
        <v>1006037877</v>
      </c>
      <c r="F28" s="72">
        <v>3194792986</v>
      </c>
      <c r="G28" s="15" t="s">
        <v>274</v>
      </c>
      <c r="H28" s="13"/>
    </row>
    <row r="29" spans="1:13" hidden="1">
      <c r="A29" s="6">
        <v>26</v>
      </c>
      <c r="B29" s="119" t="s">
        <v>177</v>
      </c>
      <c r="C29" s="116">
        <v>8990200</v>
      </c>
      <c r="D29" s="38" t="s">
        <v>331</v>
      </c>
      <c r="E29" s="72">
        <v>1110367943</v>
      </c>
      <c r="F29" s="72">
        <v>3330726</v>
      </c>
      <c r="G29" s="15" t="s">
        <v>332</v>
      </c>
      <c r="H29" s="13"/>
    </row>
    <row r="30" spans="1:13" hidden="1">
      <c r="A30" s="6">
        <v>27</v>
      </c>
      <c r="B30" s="119" t="s">
        <v>177</v>
      </c>
      <c r="C30" s="115">
        <v>8932699</v>
      </c>
      <c r="D30" s="38" t="s">
        <v>337</v>
      </c>
      <c r="E30" s="72">
        <v>1110367346</v>
      </c>
      <c r="F30" s="72">
        <v>3218200</v>
      </c>
      <c r="G30" s="15" t="s">
        <v>338</v>
      </c>
      <c r="H30" s="13"/>
    </row>
    <row r="31" spans="1:13" hidden="1">
      <c r="A31" s="6">
        <v>28</v>
      </c>
      <c r="B31" s="119" t="s">
        <v>177</v>
      </c>
      <c r="C31" s="114">
        <v>8975321</v>
      </c>
      <c r="D31" s="7" t="s">
        <v>243</v>
      </c>
      <c r="E31" s="72">
        <v>1107835562</v>
      </c>
      <c r="F31" s="72">
        <v>3103500246</v>
      </c>
      <c r="G31" s="15" t="s">
        <v>244</v>
      </c>
      <c r="H31" s="13"/>
      <c r="I31" s="27"/>
      <c r="J31" s="27"/>
      <c r="L31" s="64"/>
    </row>
    <row r="32" spans="1:13" hidden="1">
      <c r="A32" s="6">
        <v>29</v>
      </c>
      <c r="B32" s="119" t="s">
        <v>177</v>
      </c>
      <c r="C32" s="115">
        <v>8988317</v>
      </c>
      <c r="D32" s="38" t="s">
        <v>333</v>
      </c>
      <c r="E32" s="72">
        <v>1113979757</v>
      </c>
      <c r="F32" s="72">
        <v>3246218026</v>
      </c>
      <c r="G32" s="15" t="s">
        <v>334</v>
      </c>
      <c r="H32" s="13"/>
    </row>
    <row r="33" spans="1:8" hidden="1">
      <c r="A33" s="6">
        <v>30</v>
      </c>
      <c r="B33" s="119" t="s">
        <v>177</v>
      </c>
      <c r="C33" s="115">
        <v>8986216</v>
      </c>
      <c r="D33" s="38" t="s">
        <v>293</v>
      </c>
      <c r="E33" s="72">
        <v>1105361997</v>
      </c>
      <c r="F33" s="72">
        <v>6023105956</v>
      </c>
      <c r="G33" s="15" t="s">
        <v>294</v>
      </c>
      <c r="H33" s="13"/>
    </row>
    <row r="34" spans="1:8" hidden="1">
      <c r="A34" s="6">
        <v>31</v>
      </c>
      <c r="B34" s="119" t="s">
        <v>177</v>
      </c>
      <c r="C34" s="115">
        <v>8987855</v>
      </c>
      <c r="D34" s="38" t="s">
        <v>208</v>
      </c>
      <c r="E34" s="72">
        <v>1043126875</v>
      </c>
      <c r="F34" s="72">
        <v>5562644</v>
      </c>
      <c r="G34" s="15" t="s">
        <v>209</v>
      </c>
      <c r="H34" s="13"/>
    </row>
    <row r="35" spans="1:8" hidden="1">
      <c r="A35" s="6">
        <v>32</v>
      </c>
      <c r="B35" s="119" t="s">
        <v>176</v>
      </c>
      <c r="C35" s="117">
        <v>8989012</v>
      </c>
      <c r="D35" s="17" t="s">
        <v>285</v>
      </c>
      <c r="E35" s="72">
        <v>1110367139</v>
      </c>
      <c r="F35" s="72">
        <v>6024813504</v>
      </c>
      <c r="G35" s="15" t="s">
        <v>286</v>
      </c>
      <c r="H35" s="13"/>
    </row>
    <row r="36" spans="1:8" hidden="1">
      <c r="A36" s="6">
        <v>33</v>
      </c>
      <c r="B36" s="119" t="s">
        <v>176</v>
      </c>
      <c r="C36" s="115">
        <v>8987499</v>
      </c>
      <c r="D36" s="38" t="s">
        <v>291</v>
      </c>
      <c r="E36" s="72">
        <v>1105363171</v>
      </c>
      <c r="F36" s="72">
        <v>3128703853</v>
      </c>
      <c r="G36" s="15" t="s">
        <v>292</v>
      </c>
      <c r="H36" s="13"/>
    </row>
    <row r="37" spans="1:8" hidden="1">
      <c r="A37" s="6">
        <v>34</v>
      </c>
      <c r="B37" s="119" t="s">
        <v>176</v>
      </c>
      <c r="C37" s="115">
        <v>8977181</v>
      </c>
      <c r="D37" s="38" t="s">
        <v>224</v>
      </c>
      <c r="E37" s="72">
        <v>1110364727</v>
      </c>
      <c r="F37" s="72">
        <v>3126693633</v>
      </c>
      <c r="G37" s="15" t="s">
        <v>225</v>
      </c>
      <c r="H37" s="13"/>
    </row>
    <row r="38" spans="1:8" hidden="1">
      <c r="A38" s="6">
        <v>35</v>
      </c>
      <c r="B38" s="119" t="s">
        <v>176</v>
      </c>
      <c r="C38" s="114">
        <v>8987238</v>
      </c>
      <c r="D38" s="7" t="s">
        <v>257</v>
      </c>
      <c r="E38" s="72">
        <v>1115064601</v>
      </c>
      <c r="F38" s="72">
        <v>3165331663</v>
      </c>
      <c r="G38" s="15" t="s">
        <v>258</v>
      </c>
      <c r="H38" s="13"/>
    </row>
    <row r="39" spans="1:8" hidden="1">
      <c r="A39" s="6">
        <v>36</v>
      </c>
      <c r="B39" s="119" t="s">
        <v>176</v>
      </c>
      <c r="C39" s="114">
        <v>8987077</v>
      </c>
      <c r="D39" s="7" t="s">
        <v>267</v>
      </c>
      <c r="E39" s="72">
        <v>1110363478</v>
      </c>
      <c r="F39" s="72">
        <v>3104139106</v>
      </c>
      <c r="G39" s="15" t="s">
        <v>268</v>
      </c>
      <c r="H39" s="13"/>
    </row>
    <row r="40" spans="1:8" hidden="1">
      <c r="A40" s="6">
        <v>37</v>
      </c>
      <c r="B40" s="119" t="s">
        <v>176</v>
      </c>
      <c r="C40" s="115">
        <v>8976654</v>
      </c>
      <c r="D40" s="38" t="s">
        <v>255</v>
      </c>
      <c r="E40" s="72">
        <v>1007580072</v>
      </c>
      <c r="F40" s="72">
        <v>3216392291</v>
      </c>
      <c r="G40" s="15" t="s">
        <v>256</v>
      </c>
      <c r="H40" s="13"/>
    </row>
    <row r="41" spans="1:8">
      <c r="A41" s="6">
        <v>38</v>
      </c>
      <c r="B41" s="119" t="s">
        <v>181</v>
      </c>
      <c r="C41" s="118">
        <v>8972399</v>
      </c>
      <c r="D41" s="38" t="s">
        <v>289</v>
      </c>
      <c r="E41" s="72">
        <v>1081274176</v>
      </c>
      <c r="F41" s="72">
        <v>3145428386</v>
      </c>
      <c r="G41" s="15" t="s">
        <v>290</v>
      </c>
      <c r="H41" s="13"/>
    </row>
    <row r="42" spans="1:8">
      <c r="A42" s="6">
        <v>39</v>
      </c>
      <c r="B42" s="119" t="s">
        <v>181</v>
      </c>
      <c r="C42" s="118">
        <v>8986836</v>
      </c>
      <c r="D42" s="38" t="s">
        <v>237</v>
      </c>
      <c r="E42" s="72">
        <v>1109186743</v>
      </c>
      <c r="F42" s="72">
        <v>3156249895</v>
      </c>
      <c r="G42" s="15" t="s">
        <v>238</v>
      </c>
      <c r="H42" s="13"/>
    </row>
    <row r="43" spans="1:8">
      <c r="A43" s="6">
        <v>40</v>
      </c>
      <c r="B43" s="119" t="s">
        <v>181</v>
      </c>
      <c r="C43" s="118">
        <v>8976424</v>
      </c>
      <c r="D43" s="38" t="s">
        <v>226</v>
      </c>
      <c r="E43" s="72">
        <v>1110366738</v>
      </c>
      <c r="F43" s="72">
        <v>3881873</v>
      </c>
      <c r="G43" s="15" t="s">
        <v>227</v>
      </c>
      <c r="H43" s="13"/>
    </row>
    <row r="44" spans="1:8">
      <c r="A44" s="6">
        <v>41</v>
      </c>
      <c r="B44" s="119" t="s">
        <v>181</v>
      </c>
      <c r="C44" s="118">
        <v>8956469</v>
      </c>
      <c r="D44" s="38" t="s">
        <v>231</v>
      </c>
      <c r="E44" s="72">
        <v>1109540487</v>
      </c>
      <c r="F44" s="72">
        <v>4836979</v>
      </c>
      <c r="G44" s="15" t="s">
        <v>232</v>
      </c>
      <c r="H44" s="13"/>
    </row>
    <row r="45" spans="1:8">
      <c r="A45" s="6">
        <v>42</v>
      </c>
      <c r="B45" s="119" t="s">
        <v>181</v>
      </c>
      <c r="C45" s="118">
        <v>8962474</v>
      </c>
      <c r="D45" s="38" t="s">
        <v>345</v>
      </c>
      <c r="E45" s="72">
        <v>1000253352</v>
      </c>
      <c r="F45" s="72">
        <v>3467445</v>
      </c>
      <c r="G45" s="15" t="s">
        <v>346</v>
      </c>
      <c r="H45" s="13"/>
    </row>
    <row r="46" spans="1:8">
      <c r="A46" s="6">
        <v>43</v>
      </c>
      <c r="B46" s="119" t="s">
        <v>181</v>
      </c>
      <c r="C46" s="118">
        <v>8979465</v>
      </c>
      <c r="D46" s="38" t="s">
        <v>247</v>
      </c>
      <c r="E46" s="72">
        <v>1110290593</v>
      </c>
      <c r="F46" s="72">
        <v>3173672376</v>
      </c>
      <c r="G46" s="15" t="s">
        <v>248</v>
      </c>
      <c r="H46" s="13"/>
    </row>
    <row r="47" spans="1:8">
      <c r="A47" s="6">
        <v>44</v>
      </c>
      <c r="B47" s="119" t="s">
        <v>189</v>
      </c>
      <c r="C47" s="118">
        <v>8967392</v>
      </c>
      <c r="D47" s="38" t="s">
        <v>210</v>
      </c>
      <c r="E47" s="72">
        <v>1059234766</v>
      </c>
      <c r="F47" s="72">
        <v>3152838143</v>
      </c>
      <c r="G47" s="15" t="s">
        <v>211</v>
      </c>
      <c r="H47" s="13"/>
    </row>
    <row r="48" spans="1:8">
      <c r="A48" s="6">
        <v>45</v>
      </c>
      <c r="B48" s="119" t="s">
        <v>189</v>
      </c>
      <c r="C48" s="118">
        <v>8961950</v>
      </c>
      <c r="D48" s="38" t="s">
        <v>343</v>
      </c>
      <c r="E48" s="72">
        <v>1000077167</v>
      </c>
      <c r="F48" s="72">
        <v>3124673326</v>
      </c>
      <c r="G48" s="15" t="s">
        <v>344</v>
      </c>
      <c r="H48" s="13"/>
    </row>
    <row r="49" spans="1:8">
      <c r="A49" s="6">
        <v>46</v>
      </c>
      <c r="B49" s="119" t="s">
        <v>189</v>
      </c>
      <c r="C49" s="118">
        <v>8975088</v>
      </c>
      <c r="D49" s="38" t="s">
        <v>212</v>
      </c>
      <c r="E49" s="72">
        <v>1110286322</v>
      </c>
      <c r="F49" s="72">
        <v>3428384</v>
      </c>
      <c r="G49" s="15" t="s">
        <v>213</v>
      </c>
      <c r="H49" s="13"/>
    </row>
    <row r="50" spans="1:8">
      <c r="A50" s="6">
        <v>47</v>
      </c>
      <c r="B50" s="119" t="s">
        <v>189</v>
      </c>
      <c r="C50" s="118">
        <v>8988886</v>
      </c>
      <c r="D50" s="38" t="s">
        <v>206</v>
      </c>
      <c r="E50" s="72">
        <v>1105926841</v>
      </c>
      <c r="F50" s="72">
        <v>3160504787</v>
      </c>
      <c r="G50" s="15" t="s">
        <v>207</v>
      </c>
      <c r="H50" s="13"/>
    </row>
    <row r="51" spans="1:8">
      <c r="A51" s="6">
        <v>48</v>
      </c>
      <c r="B51" s="119" t="s">
        <v>189</v>
      </c>
      <c r="C51" s="118">
        <v>8974021</v>
      </c>
      <c r="D51" s="38" t="s">
        <v>287</v>
      </c>
      <c r="E51" s="72">
        <v>1107839056</v>
      </c>
      <c r="F51" s="72">
        <v>3144702248</v>
      </c>
      <c r="G51" s="15" t="s">
        <v>288</v>
      </c>
      <c r="H51" s="13"/>
    </row>
    <row r="52" spans="1:8">
      <c r="A52" s="6">
        <v>49</v>
      </c>
      <c r="B52" s="119" t="s">
        <v>189</v>
      </c>
      <c r="C52" s="118">
        <v>8990533</v>
      </c>
      <c r="D52" s="38" t="s">
        <v>313</v>
      </c>
      <c r="E52" s="72">
        <v>1126258171</v>
      </c>
      <c r="F52" s="72">
        <v>3017647472</v>
      </c>
      <c r="G52" s="15" t="s">
        <v>314</v>
      </c>
      <c r="H52" s="13"/>
    </row>
    <row r="53" spans="1:8" hidden="1">
      <c r="A53" s="6">
        <v>50</v>
      </c>
      <c r="B53" s="119" t="s">
        <v>188</v>
      </c>
      <c r="C53" s="118">
        <v>8986975</v>
      </c>
      <c r="D53" s="38" t="s">
        <v>261</v>
      </c>
      <c r="E53" s="72">
        <v>1107843779</v>
      </c>
      <c r="F53" s="72">
        <v>6023971792</v>
      </c>
      <c r="G53" s="15" t="s">
        <v>262</v>
      </c>
      <c r="H53" s="13"/>
    </row>
    <row r="54" spans="1:8" hidden="1">
      <c r="A54" s="6">
        <v>51</v>
      </c>
      <c r="B54" s="119" t="s">
        <v>188</v>
      </c>
      <c r="C54" s="118">
        <v>8986978</v>
      </c>
      <c r="D54" s="38" t="s">
        <v>297</v>
      </c>
      <c r="E54" s="72">
        <v>1117016476</v>
      </c>
      <c r="F54" s="72">
        <v>3108136797</v>
      </c>
      <c r="G54" s="15" t="s">
        <v>298</v>
      </c>
      <c r="H54" s="13"/>
    </row>
    <row r="55" spans="1:8" hidden="1">
      <c r="A55" s="6">
        <v>52</v>
      </c>
      <c r="B55" s="119" t="s">
        <v>188</v>
      </c>
      <c r="C55" s="118">
        <v>8973567</v>
      </c>
      <c r="D55" s="38" t="s">
        <v>317</v>
      </c>
      <c r="E55" s="72">
        <v>1005891962</v>
      </c>
      <c r="F55" s="72">
        <v>3126055711</v>
      </c>
      <c r="G55" s="15" t="s">
        <v>318</v>
      </c>
      <c r="H55" s="13"/>
    </row>
    <row r="56" spans="1:8" hidden="1">
      <c r="A56" s="6">
        <v>53</v>
      </c>
      <c r="B56" s="119" t="s">
        <v>188</v>
      </c>
      <c r="C56" s="118">
        <v>8977459</v>
      </c>
      <c r="D56" s="38" t="s">
        <v>239</v>
      </c>
      <c r="E56" s="72">
        <v>1110364963</v>
      </c>
      <c r="F56" s="72">
        <v>3701618</v>
      </c>
      <c r="G56" s="15" t="s">
        <v>240</v>
      </c>
      <c r="H56" s="13"/>
    </row>
    <row r="57" spans="1:8" hidden="1">
      <c r="A57" s="6">
        <v>54</v>
      </c>
      <c r="B57" s="119" t="s">
        <v>188</v>
      </c>
      <c r="C57" s="118">
        <v>8987327</v>
      </c>
      <c r="D57" s="38" t="s">
        <v>251</v>
      </c>
      <c r="E57" s="72">
        <v>1107843453</v>
      </c>
      <c r="F57" s="72">
        <v>3206777945</v>
      </c>
      <c r="G57" s="15" t="s">
        <v>252</v>
      </c>
      <c r="H57" s="13"/>
    </row>
    <row r="58" spans="1:8" hidden="1">
      <c r="A58" s="6">
        <v>55</v>
      </c>
      <c r="B58" s="119" t="s">
        <v>188</v>
      </c>
      <c r="C58" s="118">
        <v>4787728</v>
      </c>
      <c r="D58" s="38" t="s">
        <v>339</v>
      </c>
      <c r="E58" s="72">
        <v>1110286803</v>
      </c>
      <c r="F58" s="72">
        <v>3041360252</v>
      </c>
      <c r="G58" s="15" t="s">
        <v>340</v>
      </c>
      <c r="H58" s="13"/>
    </row>
    <row r="59" spans="1:8" hidden="1">
      <c r="A59" s="6">
        <v>56</v>
      </c>
      <c r="B59" s="119" t="s">
        <v>187</v>
      </c>
      <c r="C59" s="118">
        <v>8980015</v>
      </c>
      <c r="D59" s="38" t="s">
        <v>263</v>
      </c>
      <c r="E59" s="72">
        <v>1126448133</v>
      </c>
      <c r="F59" s="72">
        <v>3157184518</v>
      </c>
      <c r="G59" s="15" t="s">
        <v>264</v>
      </c>
      <c r="H59" s="13"/>
    </row>
    <row r="60" spans="1:8" hidden="1">
      <c r="A60" s="6">
        <v>57</v>
      </c>
      <c r="B60" s="119" t="s">
        <v>187</v>
      </c>
      <c r="C60" s="118">
        <v>8989976</v>
      </c>
      <c r="D60" s="38" t="s">
        <v>253</v>
      </c>
      <c r="E60" s="72">
        <v>1112042228</v>
      </c>
      <c r="F60" s="72">
        <v>3172405157</v>
      </c>
      <c r="G60" s="15" t="s">
        <v>254</v>
      </c>
      <c r="H60" s="13"/>
    </row>
    <row r="61" spans="1:8" hidden="1">
      <c r="A61" s="6">
        <v>58</v>
      </c>
      <c r="B61" s="119" t="s">
        <v>187</v>
      </c>
      <c r="C61" s="118">
        <v>8987449</v>
      </c>
      <c r="D61" s="38" t="s">
        <v>303</v>
      </c>
      <c r="E61" s="72">
        <v>1006110470</v>
      </c>
      <c r="F61" s="72">
        <v>3759086</v>
      </c>
      <c r="G61" s="15" t="s">
        <v>304</v>
      </c>
      <c r="H61" s="13"/>
    </row>
    <row r="62" spans="1:8" hidden="1">
      <c r="A62" s="6">
        <v>59</v>
      </c>
      <c r="B62" s="119" t="s">
        <v>187</v>
      </c>
      <c r="C62" s="118">
        <v>8970399</v>
      </c>
      <c r="D62" s="38" t="s">
        <v>305</v>
      </c>
      <c r="E62" s="72">
        <v>1113700618</v>
      </c>
      <c r="F62" s="72">
        <v>3178982730</v>
      </c>
      <c r="G62" s="15" t="s">
        <v>306</v>
      </c>
      <c r="H62" s="13"/>
    </row>
    <row r="63" spans="1:8" hidden="1">
      <c r="A63" s="6">
        <v>60</v>
      </c>
      <c r="B63" s="119" t="s">
        <v>187</v>
      </c>
      <c r="C63" s="118">
        <v>8989980</v>
      </c>
      <c r="D63" s="38" t="s">
        <v>220</v>
      </c>
      <c r="E63" s="72">
        <v>1105363190</v>
      </c>
      <c r="F63" s="72">
        <v>3102186700</v>
      </c>
      <c r="G63" s="15" t="s">
        <v>221</v>
      </c>
      <c r="H63" s="13"/>
    </row>
    <row r="64" spans="1:8" hidden="1">
      <c r="A64" s="6">
        <v>61</v>
      </c>
      <c r="B64" s="119" t="s">
        <v>187</v>
      </c>
      <c r="C64" s="118">
        <v>8983510</v>
      </c>
      <c r="D64" s="38" t="s">
        <v>321</v>
      </c>
      <c r="E64" s="72">
        <v>1143859457</v>
      </c>
      <c r="F64" s="72">
        <v>31763701</v>
      </c>
      <c r="G64" s="15" t="s">
        <v>322</v>
      </c>
      <c r="H64" s="13"/>
    </row>
    <row r="65" spans="1:8" hidden="1">
      <c r="A65" s="6">
        <v>62</v>
      </c>
      <c r="B65" s="119" t="s">
        <v>186</v>
      </c>
      <c r="C65" s="118">
        <v>8987998</v>
      </c>
      <c r="D65" s="38" t="s">
        <v>233</v>
      </c>
      <c r="E65" s="72">
        <v>1105366998</v>
      </c>
      <c r="F65" s="72">
        <v>3156233705</v>
      </c>
      <c r="G65" s="15" t="s">
        <v>234</v>
      </c>
      <c r="H65" s="13"/>
    </row>
    <row r="66" spans="1:8" hidden="1">
      <c r="A66" s="6">
        <v>63</v>
      </c>
      <c r="B66" s="119" t="s">
        <v>186</v>
      </c>
      <c r="C66" s="118">
        <v>8990010</v>
      </c>
      <c r="D66" s="38" t="s">
        <v>216</v>
      </c>
      <c r="E66" s="72">
        <v>1107841297</v>
      </c>
      <c r="F66" s="72">
        <v>3155581066</v>
      </c>
      <c r="G66" s="15" t="s">
        <v>217</v>
      </c>
      <c r="H66" s="13"/>
    </row>
    <row r="67" spans="1:8" hidden="1">
      <c r="A67" s="6">
        <v>64</v>
      </c>
      <c r="B67" s="119" t="s">
        <v>186</v>
      </c>
      <c r="C67" s="118">
        <v>8980956</v>
      </c>
      <c r="D67" s="38" t="s">
        <v>309</v>
      </c>
      <c r="E67" s="72">
        <v>1113859703</v>
      </c>
      <c r="F67" s="72">
        <v>3168360978</v>
      </c>
      <c r="G67" s="15" t="s">
        <v>310</v>
      </c>
      <c r="H67" s="13"/>
    </row>
    <row r="68" spans="1:8" hidden="1">
      <c r="A68" s="6">
        <v>65</v>
      </c>
      <c r="B68" s="119" t="s">
        <v>186</v>
      </c>
      <c r="C68" s="118">
        <v>8989720</v>
      </c>
      <c r="D68" s="38" t="s">
        <v>335</v>
      </c>
      <c r="E68" s="72">
        <v>1105366415</v>
      </c>
      <c r="F68" s="72">
        <v>3815200</v>
      </c>
      <c r="G68" s="15" t="s">
        <v>336</v>
      </c>
      <c r="H68" s="13"/>
    </row>
    <row r="69" spans="1:8" hidden="1">
      <c r="A69" s="6">
        <v>66</v>
      </c>
      <c r="B69" s="119" t="s">
        <v>186</v>
      </c>
      <c r="C69" s="118">
        <v>8988271</v>
      </c>
      <c r="D69" s="38" t="s">
        <v>259</v>
      </c>
      <c r="E69" s="72">
        <v>1105365932</v>
      </c>
      <c r="F69" s="72">
        <v>3108663473</v>
      </c>
      <c r="G69" s="15" t="s">
        <v>260</v>
      </c>
      <c r="H69" s="13"/>
    </row>
    <row r="70" spans="1:8" hidden="1">
      <c r="A70" s="6">
        <v>67</v>
      </c>
      <c r="B70" s="119" t="s">
        <v>186</v>
      </c>
      <c r="C70" s="118">
        <v>8986083</v>
      </c>
      <c r="D70" s="38" t="s">
        <v>307</v>
      </c>
      <c r="E70" s="72">
        <v>1107839290</v>
      </c>
      <c r="F70" s="72">
        <v>3113535993</v>
      </c>
      <c r="G70" s="15" t="s">
        <v>308</v>
      </c>
      <c r="H70" s="13"/>
    </row>
    <row r="71" spans="1:8" hidden="1">
      <c r="A71" s="6">
        <v>68</v>
      </c>
      <c r="B71" s="119" t="s">
        <v>185</v>
      </c>
      <c r="C71" s="118">
        <v>8987955</v>
      </c>
      <c r="D71" s="38" t="s">
        <v>301</v>
      </c>
      <c r="E71" s="72">
        <v>1108642428</v>
      </c>
      <c r="F71" s="72">
        <v>6023901701</v>
      </c>
      <c r="G71" s="15" t="s">
        <v>302</v>
      </c>
      <c r="H71" s="13"/>
    </row>
    <row r="72" spans="1:8" hidden="1">
      <c r="A72" s="6">
        <v>69</v>
      </c>
      <c r="B72" s="119" t="s">
        <v>185</v>
      </c>
      <c r="C72" s="118">
        <v>8972887</v>
      </c>
      <c r="D72" s="38" t="s">
        <v>349</v>
      </c>
      <c r="E72" s="72">
        <v>1123621323</v>
      </c>
      <c r="F72" s="72">
        <v>3134504833</v>
      </c>
      <c r="G72" s="15" t="s">
        <v>350</v>
      </c>
      <c r="H72" s="13"/>
    </row>
    <row r="73" spans="1:8" hidden="1">
      <c r="A73" s="6">
        <v>70</v>
      </c>
      <c r="B73" s="119" t="s">
        <v>185</v>
      </c>
      <c r="C73" s="118">
        <v>8981477</v>
      </c>
      <c r="D73" s="38" t="s">
        <v>315</v>
      </c>
      <c r="E73" s="72">
        <v>1080047730</v>
      </c>
      <c r="F73" s="72">
        <v>6027205633</v>
      </c>
      <c r="G73" s="15" t="s">
        <v>316</v>
      </c>
      <c r="H73" s="13"/>
    </row>
    <row r="74" spans="1:8" hidden="1">
      <c r="A74" s="6">
        <v>71</v>
      </c>
      <c r="B74" s="119" t="s">
        <v>185</v>
      </c>
      <c r="C74" s="118">
        <v>8931917</v>
      </c>
      <c r="D74" s="38" t="s">
        <v>295</v>
      </c>
      <c r="E74" s="72">
        <v>1107512780</v>
      </c>
      <c r="F74" s="72">
        <v>3188018082</v>
      </c>
      <c r="G74" s="15" t="s">
        <v>296</v>
      </c>
      <c r="H74" s="13"/>
    </row>
    <row r="75" spans="1:8" hidden="1">
      <c r="A75" s="6">
        <v>72</v>
      </c>
      <c r="B75" s="119" t="s">
        <v>185</v>
      </c>
      <c r="C75" s="118">
        <v>8985497</v>
      </c>
      <c r="D75" s="38" t="s">
        <v>279</v>
      </c>
      <c r="E75" s="72">
        <v>1105362537</v>
      </c>
      <c r="F75" s="72">
        <v>3150488201</v>
      </c>
      <c r="G75" s="15" t="s">
        <v>280</v>
      </c>
      <c r="H75" s="13"/>
    </row>
    <row r="76" spans="1:8" hidden="1">
      <c r="A76" s="6">
        <v>73</v>
      </c>
      <c r="B76" s="119" t="s">
        <v>185</v>
      </c>
      <c r="C76" s="118">
        <v>8980120</v>
      </c>
      <c r="D76" s="38" t="s">
        <v>275</v>
      </c>
      <c r="E76" s="72">
        <v>1126664438</v>
      </c>
      <c r="F76" s="72">
        <v>2977418980</v>
      </c>
      <c r="G76" s="15" t="s">
        <v>276</v>
      </c>
      <c r="H76" s="13"/>
    </row>
  </sheetData>
  <autoFilter ref="B3:G76" xr:uid="{92EDED5F-ECE1-4F7E-9B04-74637581C1EF}">
    <filterColumn colId="0">
      <filters>
        <filter val="B1"/>
        <filter val="B2"/>
      </filters>
    </filterColumn>
  </autoFilter>
  <mergeCells count="6">
    <mergeCell ref="N3:P3"/>
    <mergeCell ref="C2:G2"/>
    <mergeCell ref="C1:G1"/>
    <mergeCell ref="I13:L13"/>
    <mergeCell ref="K12:L12"/>
    <mergeCell ref="I12:J12"/>
  </mergeCells>
  <pageMargins left="0.7" right="0.7" top="0.75" bottom="0.75" header="0.3" footer="0.3"/>
  <pageSetup paperSize="9" orientation="portrait" r:id="rId1"/>
  <ignoredErrors>
    <ignoredError sqref="C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C326-A3F1-4929-94EA-1D2595B7F1B3}">
  <sheetPr>
    <tabColor rgb="FF92D050"/>
  </sheetPr>
  <dimension ref="A1:L24"/>
  <sheetViews>
    <sheetView workbookViewId="0">
      <selection activeCell="D27" sqref="D27"/>
    </sheetView>
  </sheetViews>
  <sheetFormatPr defaultColWidth="9.140625" defaultRowHeight="12.95"/>
  <cols>
    <col min="1" max="1" width="8.7109375" style="181" bestFit="1" customWidth="1"/>
    <col min="2" max="2" width="15.42578125" style="181" customWidth="1"/>
    <col min="3" max="3" width="7.7109375" style="181" customWidth="1"/>
    <col min="4" max="4" width="14.28515625" style="186" customWidth="1"/>
    <col min="5" max="7" width="11.28515625" style="186" customWidth="1"/>
    <col min="8" max="10" width="11.28515625" style="181" customWidth="1"/>
    <col min="11" max="16384" width="9.140625" style="181"/>
  </cols>
  <sheetData>
    <row r="1" spans="1:12">
      <c r="A1" s="426" t="s">
        <v>366</v>
      </c>
      <c r="B1" s="427"/>
      <c r="C1" s="427"/>
      <c r="D1" s="427"/>
      <c r="E1" s="427"/>
      <c r="F1" s="427"/>
      <c r="G1" s="427"/>
      <c r="H1" s="427"/>
      <c r="I1" s="427"/>
      <c r="J1" s="427"/>
    </row>
    <row r="2" spans="1:12">
      <c r="A2" s="427" t="s">
        <v>156</v>
      </c>
      <c r="B2" s="427"/>
      <c r="C2" s="427"/>
      <c r="D2" s="427"/>
      <c r="E2" s="427"/>
      <c r="F2" s="427"/>
      <c r="G2" s="427"/>
      <c r="H2" s="427"/>
      <c r="I2" s="427"/>
      <c r="J2" s="427"/>
    </row>
    <row r="3" spans="1:12" ht="26.1">
      <c r="A3" s="428" t="s">
        <v>367</v>
      </c>
      <c r="B3" s="428" t="s">
        <v>368</v>
      </c>
      <c r="C3" s="428"/>
      <c r="D3" s="183" t="s">
        <v>369</v>
      </c>
      <c r="E3" s="429" t="s">
        <v>370</v>
      </c>
      <c r="F3" s="429"/>
      <c r="G3" s="429"/>
      <c r="H3" s="429"/>
      <c r="I3" s="429"/>
      <c r="J3" s="429"/>
    </row>
    <row r="4" spans="1:12">
      <c r="A4" s="428"/>
      <c r="B4" s="428"/>
      <c r="C4" s="428"/>
      <c r="D4" s="180" t="s">
        <v>371</v>
      </c>
      <c r="E4" s="429" t="s">
        <v>372</v>
      </c>
      <c r="F4" s="429"/>
      <c r="G4" s="183" t="s">
        <v>373</v>
      </c>
      <c r="H4" s="183" t="s">
        <v>374</v>
      </c>
      <c r="I4" s="430" t="s">
        <v>375</v>
      </c>
      <c r="J4" s="431"/>
    </row>
    <row r="5" spans="1:12" ht="15" customHeight="1">
      <c r="A5" s="423" t="s">
        <v>376</v>
      </c>
      <c r="B5" s="424" t="s">
        <v>377</v>
      </c>
      <c r="C5" s="185" t="s">
        <v>378</v>
      </c>
      <c r="D5" s="423" t="s">
        <v>379</v>
      </c>
      <c r="E5" s="187" t="s">
        <v>172</v>
      </c>
      <c r="F5" s="184" t="s">
        <v>180</v>
      </c>
      <c r="G5" s="187" t="s">
        <v>179</v>
      </c>
      <c r="H5" s="184" t="s">
        <v>178</v>
      </c>
      <c r="I5" s="187" t="s">
        <v>177</v>
      </c>
      <c r="J5" s="184" t="s">
        <v>176</v>
      </c>
      <c r="L5" s="181">
        <f>35/6</f>
        <v>5.833333333333333</v>
      </c>
    </row>
    <row r="6" spans="1:12">
      <c r="A6" s="423"/>
      <c r="B6" s="425"/>
      <c r="C6" s="185" t="s">
        <v>380</v>
      </c>
      <c r="D6" s="423"/>
      <c r="E6" s="187" t="s">
        <v>172</v>
      </c>
      <c r="F6" s="184" t="s">
        <v>180</v>
      </c>
      <c r="G6" s="187" t="s">
        <v>179</v>
      </c>
      <c r="H6" s="184" t="s">
        <v>178</v>
      </c>
      <c r="I6" s="187" t="s">
        <v>177</v>
      </c>
      <c r="J6" s="184" t="s">
        <v>176</v>
      </c>
    </row>
    <row r="7" spans="1:12">
      <c r="A7" s="423"/>
      <c r="B7" s="425"/>
      <c r="C7" s="185" t="s">
        <v>381</v>
      </c>
      <c r="D7" s="423"/>
      <c r="E7" s="187" t="s">
        <v>172</v>
      </c>
      <c r="F7" s="184" t="s">
        <v>180</v>
      </c>
      <c r="G7" s="187" t="s">
        <v>179</v>
      </c>
      <c r="H7" s="184" t="s">
        <v>178</v>
      </c>
      <c r="I7" s="187" t="s">
        <v>177</v>
      </c>
      <c r="J7" s="184" t="s">
        <v>176</v>
      </c>
    </row>
    <row r="8" spans="1:12" ht="15" customHeight="1">
      <c r="A8" s="423"/>
      <c r="B8" s="425"/>
      <c r="C8" s="185" t="s">
        <v>382</v>
      </c>
      <c r="D8" s="423"/>
      <c r="E8" s="425" t="s">
        <v>383</v>
      </c>
      <c r="F8" s="425"/>
      <c r="G8" s="425"/>
      <c r="H8" s="425"/>
      <c r="I8" s="425"/>
      <c r="J8" s="425"/>
    </row>
    <row r="9" spans="1:12" ht="15" customHeight="1">
      <c r="A9" s="423"/>
      <c r="B9" s="425"/>
      <c r="C9" s="185" t="s">
        <v>384</v>
      </c>
      <c r="D9" s="423"/>
      <c r="E9" s="425"/>
      <c r="F9" s="425"/>
      <c r="G9" s="425"/>
      <c r="H9" s="425"/>
      <c r="I9" s="425"/>
      <c r="J9" s="425"/>
    </row>
    <row r="10" spans="1:12" ht="15" customHeight="1">
      <c r="A10" s="423" t="s">
        <v>385</v>
      </c>
      <c r="B10" s="424" t="s">
        <v>386</v>
      </c>
      <c r="C10" s="185" t="s">
        <v>378</v>
      </c>
      <c r="D10" s="423" t="s">
        <v>387</v>
      </c>
      <c r="E10" s="187" t="s">
        <v>181</v>
      </c>
      <c r="F10" s="184" t="s">
        <v>189</v>
      </c>
      <c r="G10" s="187" t="s">
        <v>188</v>
      </c>
      <c r="H10" s="184" t="s">
        <v>187</v>
      </c>
      <c r="I10" s="187" t="s">
        <v>186</v>
      </c>
      <c r="J10" s="184" t="s">
        <v>185</v>
      </c>
    </row>
    <row r="11" spans="1:12">
      <c r="A11" s="423"/>
      <c r="B11" s="425"/>
      <c r="C11" s="185" t="s">
        <v>380</v>
      </c>
      <c r="D11" s="423"/>
      <c r="E11" s="187" t="s">
        <v>181</v>
      </c>
      <c r="F11" s="184" t="s">
        <v>189</v>
      </c>
      <c r="G11" s="187" t="s">
        <v>188</v>
      </c>
      <c r="H11" s="184" t="s">
        <v>187</v>
      </c>
      <c r="I11" s="187" t="s">
        <v>186</v>
      </c>
      <c r="J11" s="184" t="s">
        <v>185</v>
      </c>
    </row>
    <row r="12" spans="1:12">
      <c r="A12" s="423"/>
      <c r="B12" s="425"/>
      <c r="C12" s="185" t="s">
        <v>381</v>
      </c>
      <c r="D12" s="423"/>
      <c r="E12" s="187" t="s">
        <v>181</v>
      </c>
      <c r="F12" s="184" t="s">
        <v>189</v>
      </c>
      <c r="G12" s="187" t="s">
        <v>188</v>
      </c>
      <c r="H12" s="184" t="s">
        <v>187</v>
      </c>
      <c r="I12" s="187" t="s">
        <v>186</v>
      </c>
      <c r="J12" s="184" t="s">
        <v>185</v>
      </c>
    </row>
    <row r="13" spans="1:12" ht="15" customHeight="1">
      <c r="A13" s="423"/>
      <c r="B13" s="425"/>
      <c r="C13" s="185" t="s">
        <v>382</v>
      </c>
      <c r="D13" s="423"/>
      <c r="E13" s="425" t="s">
        <v>388</v>
      </c>
      <c r="F13" s="425"/>
      <c r="G13" s="425"/>
      <c r="H13" s="425"/>
      <c r="I13" s="425"/>
      <c r="J13" s="425"/>
    </row>
    <row r="14" spans="1:12" ht="15" customHeight="1">
      <c r="A14" s="423"/>
      <c r="B14" s="425"/>
      <c r="C14" s="185" t="s">
        <v>384</v>
      </c>
      <c r="D14" s="423"/>
      <c r="E14" s="425"/>
      <c r="F14" s="425"/>
      <c r="G14" s="425"/>
      <c r="H14" s="425"/>
      <c r="I14" s="425"/>
      <c r="J14" s="425"/>
    </row>
    <row r="15" spans="1:12" ht="15" customHeight="1"/>
    <row r="16" spans="1:12" ht="15.6" customHeight="1">
      <c r="A16" s="426" t="s">
        <v>366</v>
      </c>
      <c r="B16" s="427"/>
      <c r="C16" s="427"/>
      <c r="D16" s="427"/>
      <c r="E16" s="427"/>
      <c r="F16" s="427"/>
      <c r="G16" s="427"/>
      <c r="H16" s="427"/>
      <c r="I16" s="427"/>
      <c r="J16" s="427"/>
    </row>
    <row r="17" spans="1:10">
      <c r="A17" s="427" t="s">
        <v>156</v>
      </c>
      <c r="B17" s="427"/>
      <c r="C17" s="427"/>
      <c r="D17" s="427"/>
      <c r="E17" s="427"/>
      <c r="F17" s="427"/>
      <c r="G17" s="427"/>
      <c r="H17" s="427"/>
      <c r="I17" s="427"/>
      <c r="J17" s="427"/>
    </row>
    <row r="18" spans="1:10" ht="26.1">
      <c r="A18" s="428" t="s">
        <v>367</v>
      </c>
      <c r="B18" s="428" t="s">
        <v>368</v>
      </c>
      <c r="C18" s="428"/>
      <c r="D18" s="183" t="s">
        <v>369</v>
      </c>
      <c r="E18" s="429" t="s">
        <v>370</v>
      </c>
      <c r="F18" s="429"/>
      <c r="G18" s="429"/>
      <c r="H18" s="429"/>
      <c r="I18" s="429"/>
      <c r="J18" s="429"/>
    </row>
    <row r="19" spans="1:10">
      <c r="A19" s="428"/>
      <c r="B19" s="428"/>
      <c r="C19" s="428"/>
      <c r="D19" s="182" t="s">
        <v>371</v>
      </c>
      <c r="E19" s="429" t="s">
        <v>372</v>
      </c>
      <c r="F19" s="429"/>
      <c r="G19" s="183" t="s">
        <v>373</v>
      </c>
      <c r="H19" s="183" t="s">
        <v>374</v>
      </c>
      <c r="I19" s="430" t="s">
        <v>375</v>
      </c>
      <c r="J19" s="431"/>
    </row>
    <row r="20" spans="1:10">
      <c r="A20" s="423"/>
      <c r="B20" s="424" t="s">
        <v>389</v>
      </c>
      <c r="C20" s="185" t="s">
        <v>378</v>
      </c>
      <c r="D20" s="425" t="s">
        <v>390</v>
      </c>
      <c r="E20" s="187" t="s">
        <v>391</v>
      </c>
      <c r="F20" s="184" t="s">
        <v>392</v>
      </c>
      <c r="G20" s="187" t="s">
        <v>393</v>
      </c>
      <c r="H20" s="184" t="s">
        <v>394</v>
      </c>
      <c r="I20" s="187" t="s">
        <v>395</v>
      </c>
      <c r="J20" s="184" t="s">
        <v>396</v>
      </c>
    </row>
    <row r="21" spans="1:10">
      <c r="A21" s="423"/>
      <c r="B21" s="425"/>
      <c r="C21" s="185" t="s">
        <v>380</v>
      </c>
      <c r="D21" s="425"/>
      <c r="E21" s="187" t="s">
        <v>397</v>
      </c>
      <c r="F21" s="184" t="s">
        <v>392</v>
      </c>
      <c r="G21" s="187" t="s">
        <v>393</v>
      </c>
      <c r="H21" s="184" t="s">
        <v>398</v>
      </c>
      <c r="I21" s="187" t="s">
        <v>395</v>
      </c>
      <c r="J21" s="184" t="s">
        <v>396</v>
      </c>
    </row>
    <row r="22" spans="1:10">
      <c r="A22" s="423"/>
      <c r="B22" s="425"/>
      <c r="C22" s="185" t="s">
        <v>381</v>
      </c>
      <c r="D22" s="425"/>
      <c r="E22" s="187" t="s">
        <v>397</v>
      </c>
      <c r="F22" s="184" t="s">
        <v>392</v>
      </c>
      <c r="G22" s="187" t="s">
        <v>393</v>
      </c>
      <c r="H22" s="184" t="s">
        <v>394</v>
      </c>
      <c r="I22" s="187" t="s">
        <v>395</v>
      </c>
      <c r="J22" s="184" t="s">
        <v>396</v>
      </c>
    </row>
    <row r="23" spans="1:10">
      <c r="A23" s="423"/>
      <c r="B23" s="425"/>
      <c r="C23" s="185" t="s">
        <v>382</v>
      </c>
      <c r="D23" s="425"/>
      <c r="E23" s="425" t="s">
        <v>399</v>
      </c>
      <c r="F23" s="425"/>
      <c r="G23" s="425"/>
      <c r="H23" s="425"/>
      <c r="I23" s="425"/>
      <c r="J23" s="425"/>
    </row>
    <row r="24" spans="1:10">
      <c r="A24" s="423"/>
      <c r="B24" s="425"/>
      <c r="C24" s="185" t="s">
        <v>384</v>
      </c>
      <c r="D24" s="425"/>
      <c r="E24" s="425"/>
      <c r="F24" s="425"/>
      <c r="G24" s="425"/>
      <c r="H24" s="425"/>
      <c r="I24" s="425"/>
      <c r="J24" s="425"/>
    </row>
  </sheetData>
  <mergeCells count="26">
    <mergeCell ref="A5:A9"/>
    <mergeCell ref="B5:B9"/>
    <mergeCell ref="D5:D9"/>
    <mergeCell ref="E8:J9"/>
    <mergeCell ref="A10:A14"/>
    <mergeCell ref="B10:B14"/>
    <mergeCell ref="D10:D14"/>
    <mergeCell ref="E13:J14"/>
    <mergeCell ref="A1:J1"/>
    <mergeCell ref="A2:J2"/>
    <mergeCell ref="A3:A4"/>
    <mergeCell ref="B3:C4"/>
    <mergeCell ref="E3:J3"/>
    <mergeCell ref="E4:F4"/>
    <mergeCell ref="I4:J4"/>
    <mergeCell ref="A20:A24"/>
    <mergeCell ref="B20:B24"/>
    <mergeCell ref="D20:D24"/>
    <mergeCell ref="E23:J24"/>
    <mergeCell ref="A16:J16"/>
    <mergeCell ref="A17:J17"/>
    <mergeCell ref="A18:A19"/>
    <mergeCell ref="B18:C19"/>
    <mergeCell ref="E18:J18"/>
    <mergeCell ref="E19:F19"/>
    <mergeCell ref="I19:J19"/>
  </mergeCells>
  <conditionalFormatting sqref="D3 E21:H21 E22:I22">
    <cfRule type="cellIs" dxfId="116" priority="103" operator="equal">
      <formula>"H-1"</formula>
    </cfRule>
    <cfRule type="cellIs" dxfId="115" priority="102" operator="equal">
      <formula>"H-2"</formula>
    </cfRule>
    <cfRule type="cellIs" dxfId="114" priority="101" operator="equal">
      <formula>"H-3"</formula>
    </cfRule>
    <cfRule type="cellIs" dxfId="113" priority="100" operator="equal">
      <formula>"H-4"</formula>
    </cfRule>
    <cfRule type="cellIs" dxfId="112" priority="106" operator="equal">
      <formula>"G-3"</formula>
    </cfRule>
    <cfRule type="cellIs" dxfId="111" priority="107" operator="equal">
      <formula>"G-2"</formula>
    </cfRule>
    <cfRule type="cellIs" dxfId="110" priority="108" operator="equal">
      <formula>"G-1"</formula>
    </cfRule>
    <cfRule type="cellIs" dxfId="109" priority="104" operator="equal">
      <formula>"G-5"</formula>
    </cfRule>
    <cfRule type="cellIs" dxfId="108" priority="105" operator="equal">
      <formula>"G-4"</formula>
    </cfRule>
  </conditionalFormatting>
  <conditionalFormatting sqref="D18">
    <cfRule type="cellIs" dxfId="107" priority="38" operator="equal">
      <formula>"H-3"</formula>
    </cfRule>
    <cfRule type="cellIs" dxfId="106" priority="37" operator="equal">
      <formula>"H-4"</formula>
    </cfRule>
    <cfRule type="cellIs" dxfId="105" priority="41" operator="equal">
      <formula>"G-5"</formula>
    </cfRule>
    <cfRule type="cellIs" dxfId="104" priority="40" operator="equal">
      <formula>"H-1"</formula>
    </cfRule>
    <cfRule type="cellIs" dxfId="103" priority="39" operator="equal">
      <formula>"H-2"</formula>
    </cfRule>
    <cfRule type="cellIs" dxfId="102" priority="42" operator="equal">
      <formula>"G-4"</formula>
    </cfRule>
    <cfRule type="cellIs" dxfId="101" priority="43" operator="equal">
      <formula>"G-3"</formula>
    </cfRule>
    <cfRule type="cellIs" dxfId="100" priority="44" operator="equal">
      <formula>"G-2"</formula>
    </cfRule>
    <cfRule type="cellIs" dxfId="99" priority="45" operator="equal">
      <formula>"G-1"</formula>
    </cfRule>
  </conditionalFormatting>
  <conditionalFormatting sqref="D4:G4 D5:I5 E8">
    <cfRule type="cellIs" dxfId="98" priority="114" operator="equal">
      <formula>"G-4"</formula>
    </cfRule>
    <cfRule type="cellIs" dxfId="97" priority="113" operator="equal">
      <formula>"G-5"</formula>
    </cfRule>
    <cfRule type="cellIs" dxfId="96" priority="111" operator="equal">
      <formula>"H-2"</formula>
    </cfRule>
    <cfRule type="cellIs" dxfId="95" priority="110" operator="equal">
      <formula>"H-3"</formula>
    </cfRule>
    <cfRule type="cellIs" dxfId="94" priority="109" operator="equal">
      <formula>"H-4"</formula>
    </cfRule>
    <cfRule type="cellIs" dxfId="93" priority="112" operator="equal">
      <formula>"H-1"</formula>
    </cfRule>
    <cfRule type="cellIs" dxfId="92" priority="117" operator="equal">
      <formula>"G-1"</formula>
    </cfRule>
    <cfRule type="cellIs" dxfId="91" priority="116" operator="equal">
      <formula>"G-2"</formula>
    </cfRule>
    <cfRule type="cellIs" dxfId="90" priority="115" operator="equal">
      <formula>"G-3"</formula>
    </cfRule>
  </conditionalFormatting>
  <conditionalFormatting sqref="D19:G19 E23">
    <cfRule type="cellIs" dxfId="89" priority="46" operator="equal">
      <formula>"H-4"</formula>
    </cfRule>
    <cfRule type="cellIs" dxfId="88" priority="47" operator="equal">
      <formula>"H-3"</formula>
    </cfRule>
    <cfRule type="cellIs" dxfId="87" priority="48" operator="equal">
      <formula>"H-2"</formula>
    </cfRule>
    <cfRule type="cellIs" dxfId="86" priority="49" operator="equal">
      <formula>"H-1"</formula>
    </cfRule>
    <cfRule type="cellIs" dxfId="85" priority="50" operator="equal">
      <formula>"G-5"</formula>
    </cfRule>
    <cfRule type="cellIs" dxfId="84" priority="51" operator="equal">
      <formula>"G-4"</formula>
    </cfRule>
    <cfRule type="cellIs" dxfId="83" priority="52" operator="equal">
      <formula>"G-3"</formula>
    </cfRule>
    <cfRule type="cellIs" dxfId="82" priority="53" operator="equal">
      <formula>"G-2"</formula>
    </cfRule>
    <cfRule type="cellIs" dxfId="81" priority="54" operator="equal">
      <formula>"G-1"</formula>
    </cfRule>
  </conditionalFormatting>
  <conditionalFormatting sqref="D10:I10">
    <cfRule type="cellIs" dxfId="80" priority="83" operator="equal">
      <formula>"H-3"</formula>
    </cfRule>
    <cfRule type="cellIs" dxfId="79" priority="87" operator="equal">
      <formula>"G-4"</formula>
    </cfRule>
    <cfRule type="cellIs" dxfId="78" priority="88" operator="equal">
      <formula>"G-3"</formula>
    </cfRule>
    <cfRule type="cellIs" dxfId="77" priority="89" operator="equal">
      <formula>"G-2"</formula>
    </cfRule>
    <cfRule type="cellIs" dxfId="76" priority="90" operator="equal">
      <formula>"G-1"</formula>
    </cfRule>
    <cfRule type="cellIs" dxfId="75" priority="84" operator="equal">
      <formula>"H-2"</formula>
    </cfRule>
    <cfRule type="cellIs" dxfId="74" priority="85" operator="equal">
      <formula>"H-1"</formula>
    </cfRule>
    <cfRule type="cellIs" dxfId="73" priority="82" operator="equal">
      <formula>"H-4"</formula>
    </cfRule>
    <cfRule type="cellIs" dxfId="72" priority="86" operator="equal">
      <formula>"G-5"</formula>
    </cfRule>
  </conditionalFormatting>
  <conditionalFormatting sqref="D20:I20">
    <cfRule type="cellIs" dxfId="71" priority="14" operator="equal">
      <formula>"G-5"</formula>
    </cfRule>
    <cfRule type="cellIs" dxfId="70" priority="16" operator="equal">
      <formula>"G-3"</formula>
    </cfRule>
    <cfRule type="cellIs" dxfId="69" priority="17" operator="equal">
      <formula>"G-2"</formula>
    </cfRule>
    <cfRule type="cellIs" dxfId="68" priority="18" operator="equal">
      <formula>"G-1"</formula>
    </cfRule>
    <cfRule type="cellIs" dxfId="67" priority="15" operator="equal">
      <formula>"G-4"</formula>
    </cfRule>
    <cfRule type="cellIs" dxfId="66" priority="10" operator="equal">
      <formula>"H-4"</formula>
    </cfRule>
    <cfRule type="cellIs" dxfId="65" priority="11" operator="equal">
      <formula>"H-3"</formula>
    </cfRule>
    <cfRule type="cellIs" dxfId="64" priority="12" operator="equal">
      <formula>"H-2"</formula>
    </cfRule>
    <cfRule type="cellIs" dxfId="63" priority="13" operator="equal">
      <formula>"H-1"</formula>
    </cfRule>
  </conditionalFormatting>
  <conditionalFormatting sqref="E13">
    <cfRule type="cellIs" dxfId="62" priority="71" operator="equal">
      <formula>"G-2"</formula>
    </cfRule>
    <cfRule type="cellIs" dxfId="61" priority="67" operator="equal">
      <formula>"H-1"</formula>
    </cfRule>
    <cfRule type="cellIs" dxfId="60" priority="66" operator="equal">
      <formula>"H-2"</formula>
    </cfRule>
    <cfRule type="cellIs" dxfId="59" priority="65" operator="equal">
      <formula>"H-3"</formula>
    </cfRule>
    <cfRule type="cellIs" dxfId="58" priority="64" operator="equal">
      <formula>"H-4"</formula>
    </cfRule>
    <cfRule type="cellIs" dxfId="57" priority="69" operator="equal">
      <formula>"G-4"</formula>
    </cfRule>
    <cfRule type="cellIs" dxfId="56" priority="70" operator="equal">
      <formula>"G-3"</formula>
    </cfRule>
    <cfRule type="cellIs" dxfId="55" priority="68" operator="equal">
      <formula>"G-5"</formula>
    </cfRule>
    <cfRule type="cellIs" dxfId="54" priority="72" operator="equal">
      <formula>"G-1"</formula>
    </cfRule>
  </conditionalFormatting>
  <conditionalFormatting sqref="E6:I7">
    <cfRule type="cellIs" dxfId="53" priority="92" operator="equal">
      <formula>"H-3"</formula>
    </cfRule>
    <cfRule type="cellIs" dxfId="52" priority="95" operator="equal">
      <formula>"G-5"</formula>
    </cfRule>
    <cfRule type="cellIs" dxfId="51" priority="93" operator="equal">
      <formula>"H-2"</formula>
    </cfRule>
    <cfRule type="cellIs" dxfId="50" priority="94" operator="equal">
      <formula>"H-1"</formula>
    </cfRule>
    <cfRule type="cellIs" dxfId="49" priority="91" operator="equal">
      <formula>"H-4"</formula>
    </cfRule>
    <cfRule type="cellIs" dxfId="48" priority="96" operator="equal">
      <formula>"G-4"</formula>
    </cfRule>
    <cfRule type="cellIs" dxfId="47" priority="97" operator="equal">
      <formula>"G-3"</formula>
    </cfRule>
    <cfRule type="cellIs" dxfId="46" priority="99" operator="equal">
      <formula>"G-1"</formula>
    </cfRule>
    <cfRule type="cellIs" dxfId="45" priority="98" operator="equal">
      <formula>"G-2"</formula>
    </cfRule>
  </conditionalFormatting>
  <conditionalFormatting sqref="E11:I12">
    <cfRule type="cellIs" dxfId="44" priority="78" operator="equal">
      <formula>"G-4"</formula>
    </cfRule>
    <cfRule type="cellIs" dxfId="43" priority="73" operator="equal">
      <formula>"H-4"</formula>
    </cfRule>
    <cfRule type="cellIs" dxfId="42" priority="74" operator="equal">
      <formula>"H-3"</formula>
    </cfRule>
    <cfRule type="cellIs" dxfId="41" priority="75" operator="equal">
      <formula>"H-2"</formula>
    </cfRule>
    <cfRule type="cellIs" dxfId="40" priority="76" operator="equal">
      <formula>"H-1"</formula>
    </cfRule>
    <cfRule type="cellIs" dxfId="39" priority="77" operator="equal">
      <formula>"G-5"</formula>
    </cfRule>
    <cfRule type="cellIs" dxfId="38" priority="79" operator="equal">
      <formula>"G-3"</formula>
    </cfRule>
    <cfRule type="cellIs" dxfId="37" priority="80" operator="equal">
      <formula>"G-2"</formula>
    </cfRule>
    <cfRule type="cellIs" dxfId="36" priority="81" operator="equal">
      <formula>"G-1"</formula>
    </cfRule>
  </conditionalFormatting>
  <conditionalFormatting sqref="I20:I21">
    <cfRule type="cellIs" dxfId="35" priority="3" operator="equal">
      <formula>"H-2"</formula>
    </cfRule>
    <cfRule type="cellIs" dxfId="34" priority="4" operator="equal">
      <formula>"H-1"</formula>
    </cfRule>
    <cfRule type="cellIs" dxfId="33" priority="5" operator="equal">
      <formula>"G-5"</formula>
    </cfRule>
    <cfRule type="cellIs" dxfId="32" priority="6" operator="equal">
      <formula>"G-4"</formula>
    </cfRule>
    <cfRule type="cellIs" dxfId="31" priority="2" operator="equal">
      <formula>"H-3"</formula>
    </cfRule>
    <cfRule type="cellIs" dxfId="30" priority="1" operator="equal">
      <formula>"H-4"</formula>
    </cfRule>
    <cfRule type="cellIs" dxfId="29" priority="9" operator="equal">
      <formula>"G-1"</formula>
    </cfRule>
    <cfRule type="cellIs" dxfId="28" priority="8" operator="equal">
      <formula>"G-2"</formula>
    </cfRule>
    <cfRule type="cellIs" dxfId="27" priority="7" operator="equal">
      <formula>"G-3"</formula>
    </cfRule>
  </conditionalFormatting>
  <conditionalFormatting sqref="J5:J7">
    <cfRule type="cellIs" dxfId="26" priority="58" operator="equal">
      <formula>"H-1"</formula>
    </cfRule>
    <cfRule type="cellIs" dxfId="25" priority="57" operator="equal">
      <formula>"H-2"</formula>
    </cfRule>
    <cfRule type="cellIs" dxfId="24" priority="56" operator="equal">
      <formula>"H-3"</formula>
    </cfRule>
    <cfRule type="cellIs" dxfId="23" priority="55" operator="equal">
      <formula>"H-4"</formula>
    </cfRule>
    <cfRule type="cellIs" dxfId="22" priority="62" operator="equal">
      <formula>"G-2"</formula>
    </cfRule>
    <cfRule type="cellIs" dxfId="21" priority="63" operator="equal">
      <formula>"G-1"</formula>
    </cfRule>
    <cfRule type="cellIs" dxfId="20" priority="61" operator="equal">
      <formula>"G-3"</formula>
    </cfRule>
    <cfRule type="cellIs" dxfId="19" priority="59" operator="equal">
      <formula>"G-5"</formula>
    </cfRule>
    <cfRule type="cellIs" dxfId="18" priority="60" operator="equal">
      <formula>"G-4"</formula>
    </cfRule>
  </conditionalFormatting>
  <conditionalFormatting sqref="J10:J12 D15:G15 D25:G1048576">
    <cfRule type="cellIs" dxfId="17" priority="118" operator="equal">
      <formula>"H-4"</formula>
    </cfRule>
    <cfRule type="cellIs" dxfId="16" priority="119" operator="equal">
      <formula>"H-3"</formula>
    </cfRule>
    <cfRule type="cellIs" dxfId="15" priority="120" operator="equal">
      <formula>"H-2"</formula>
    </cfRule>
    <cfRule type="cellIs" dxfId="14" priority="121" operator="equal">
      <formula>"H-1"</formula>
    </cfRule>
    <cfRule type="cellIs" dxfId="13" priority="122" operator="equal">
      <formula>"G-5"</formula>
    </cfRule>
    <cfRule type="cellIs" dxfId="12" priority="123" operator="equal">
      <formula>"G-4"</formula>
    </cfRule>
    <cfRule type="cellIs" dxfId="11" priority="124" operator="equal">
      <formula>"G-3"</formula>
    </cfRule>
    <cfRule type="cellIs" dxfId="10" priority="125" operator="equal">
      <formula>"G-2"</formula>
    </cfRule>
    <cfRule type="cellIs" dxfId="9" priority="126" operator="equal">
      <formula>"G-1"</formula>
    </cfRule>
  </conditionalFormatting>
  <conditionalFormatting sqref="J20:J22">
    <cfRule type="cellIs" dxfId="8" priority="32" operator="equal">
      <formula>"G-5"</formula>
    </cfRule>
    <cfRule type="cellIs" dxfId="7" priority="31" operator="equal">
      <formula>"H-1"</formula>
    </cfRule>
    <cfRule type="cellIs" dxfId="6" priority="30" operator="equal">
      <formula>"H-2"</formula>
    </cfRule>
    <cfRule type="cellIs" dxfId="5" priority="36" operator="equal">
      <formula>"G-1"</formula>
    </cfRule>
    <cfRule type="cellIs" dxfId="4" priority="29" operator="equal">
      <formula>"H-3"</formula>
    </cfRule>
    <cfRule type="cellIs" dxfId="3" priority="28" operator="equal">
      <formula>"H-4"</formula>
    </cfRule>
    <cfRule type="cellIs" dxfId="2" priority="35" operator="equal">
      <formula>"G-2"</formula>
    </cfRule>
    <cfRule type="cellIs" dxfId="1" priority="34" operator="equal">
      <formula>"G-3"</formula>
    </cfRule>
    <cfRule type="cellIs" dxfId="0" priority="33" operator="equal">
      <formula>"G-4"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FBF4-6768-4062-94A4-2757FF493053}">
  <sheetPr>
    <tabColor rgb="FF92D050"/>
  </sheetPr>
  <dimension ref="A1:O67"/>
  <sheetViews>
    <sheetView zoomScale="70" zoomScaleNormal="70" workbookViewId="0">
      <selection activeCell="C1" sqref="C1"/>
    </sheetView>
  </sheetViews>
  <sheetFormatPr defaultColWidth="11.42578125" defaultRowHeight="16.5" customHeight="1"/>
  <cols>
    <col min="1" max="1" width="5.42578125" style="1" customWidth="1"/>
    <col min="2" max="3" width="9.85546875" style="1" customWidth="1"/>
    <col min="4" max="4" width="9.5703125" style="1" bestFit="1" customWidth="1"/>
    <col min="5" max="5" width="39.140625" style="1" customWidth="1"/>
    <col min="6" max="6" width="12.5703125" style="1" customWidth="1"/>
    <col min="7" max="7" width="13.42578125" style="1" customWidth="1"/>
    <col min="8" max="8" width="35.140625" style="2" bestFit="1" customWidth="1"/>
    <col min="9" max="9" width="6.5703125" style="2" customWidth="1"/>
    <col min="10" max="10" width="11" style="1" customWidth="1"/>
    <col min="11" max="11" width="6.5703125" style="1" customWidth="1"/>
    <col min="12" max="12" width="9.140625" style="1" customWidth="1"/>
    <col min="13" max="13" width="11.42578125" style="1"/>
    <col min="14" max="16384" width="11.42578125" style="2"/>
  </cols>
  <sheetData>
    <row r="1" spans="1:15" ht="16.5" customHeight="1">
      <c r="A1" s="437" t="s">
        <v>400</v>
      </c>
      <c r="B1" s="437"/>
      <c r="C1" s="437"/>
      <c r="D1" s="437"/>
      <c r="E1" s="437"/>
      <c r="F1" s="437"/>
      <c r="G1" s="437"/>
      <c r="H1" s="438"/>
      <c r="I1" s="98"/>
      <c r="J1" s="99"/>
      <c r="K1" s="99"/>
      <c r="L1" s="99"/>
      <c r="M1" s="99"/>
      <c r="N1" s="98"/>
    </row>
    <row r="2" spans="1:15" ht="16.5" customHeight="1">
      <c r="A2" s="437" t="s">
        <v>156</v>
      </c>
      <c r="B2" s="437"/>
      <c r="C2" s="437"/>
      <c r="D2" s="437"/>
      <c r="E2" s="437"/>
      <c r="F2" s="437"/>
      <c r="G2" s="437"/>
      <c r="H2" s="438"/>
      <c r="I2" s="98"/>
      <c r="J2" s="99"/>
      <c r="K2" s="99"/>
      <c r="L2" s="99"/>
      <c r="M2" s="99"/>
      <c r="N2" s="98"/>
    </row>
    <row r="3" spans="1:15" ht="16.5" customHeight="1">
      <c r="A3" s="153" t="s">
        <v>401</v>
      </c>
      <c r="B3" s="259" t="s">
        <v>402</v>
      </c>
      <c r="C3" s="261" t="s">
        <v>403</v>
      </c>
      <c r="D3" s="234" t="s">
        <v>352</v>
      </c>
      <c r="E3" s="235" t="s">
        <v>353</v>
      </c>
      <c r="F3" s="236" t="s">
        <v>4</v>
      </c>
      <c r="G3" s="236" t="s">
        <v>5</v>
      </c>
      <c r="H3" s="236" t="s">
        <v>354</v>
      </c>
      <c r="I3" s="154" t="s">
        <v>401</v>
      </c>
      <c r="J3" s="432" t="s">
        <v>404</v>
      </c>
      <c r="K3" s="433"/>
      <c r="L3" s="434" t="s">
        <v>405</v>
      </c>
      <c r="M3" s="435"/>
      <c r="N3" s="98"/>
    </row>
    <row r="4" spans="1:15" ht="16.5" customHeight="1">
      <c r="A4" s="63">
        <v>1</v>
      </c>
      <c r="B4" s="260" t="s">
        <v>172</v>
      </c>
      <c r="C4" s="262" t="s">
        <v>181</v>
      </c>
      <c r="D4" s="237">
        <v>8975344</v>
      </c>
      <c r="E4" s="238" t="s">
        <v>406</v>
      </c>
      <c r="F4" s="239">
        <v>1110287854</v>
      </c>
      <c r="G4" s="239">
        <v>3188432695</v>
      </c>
      <c r="H4" s="240" t="s">
        <v>407</v>
      </c>
      <c r="I4" s="98"/>
      <c r="J4" s="204" t="s">
        <v>172</v>
      </c>
      <c r="K4" s="282">
        <f>COUNTIF($B$4:$B$11,J4)</f>
        <v>8</v>
      </c>
      <c r="L4" s="113" t="s">
        <v>181</v>
      </c>
      <c r="M4" s="113">
        <f>COUNTIF($C$4:$C$49,L4)</f>
        <v>4</v>
      </c>
      <c r="N4" s="98"/>
    </row>
    <row r="5" spans="1:15" ht="16.5" customHeight="1">
      <c r="A5" s="63">
        <v>2</v>
      </c>
      <c r="B5" s="260" t="s">
        <v>172</v>
      </c>
      <c r="C5" s="262" t="s">
        <v>181</v>
      </c>
      <c r="D5" s="237">
        <v>8981000</v>
      </c>
      <c r="E5" s="238" t="s">
        <v>408</v>
      </c>
      <c r="F5" s="239">
        <v>1031642615</v>
      </c>
      <c r="G5" s="239">
        <v>3012181331</v>
      </c>
      <c r="H5" s="240" t="s">
        <v>409</v>
      </c>
      <c r="I5" s="98"/>
      <c r="J5" s="204" t="s">
        <v>180</v>
      </c>
      <c r="K5" s="282">
        <f>COUNTIF($B$12:$B$18,J5)</f>
        <v>7</v>
      </c>
      <c r="L5" s="3" t="s">
        <v>410</v>
      </c>
      <c r="M5" s="113">
        <v>4</v>
      </c>
      <c r="N5" s="98"/>
      <c r="O5" s="73"/>
    </row>
    <row r="6" spans="1:15" ht="16.5" customHeight="1">
      <c r="A6" s="63">
        <v>3</v>
      </c>
      <c r="B6" s="260" t="s">
        <v>172</v>
      </c>
      <c r="C6" s="262" t="s">
        <v>181</v>
      </c>
      <c r="D6" s="237">
        <v>8946234</v>
      </c>
      <c r="E6" s="238" t="s">
        <v>411</v>
      </c>
      <c r="F6" s="239">
        <v>1193265347</v>
      </c>
      <c r="G6" s="239">
        <v>3184494966</v>
      </c>
      <c r="H6" s="240" t="s">
        <v>412</v>
      </c>
      <c r="I6" s="98"/>
      <c r="J6" s="204" t="s">
        <v>179</v>
      </c>
      <c r="K6" s="282">
        <f>COUNTIF($B$12:$B$18,J6)</f>
        <v>0</v>
      </c>
      <c r="L6" s="113" t="s">
        <v>189</v>
      </c>
      <c r="M6" s="113">
        <f>COUNTIF($C$4:$C$49,L6)</f>
        <v>4</v>
      </c>
      <c r="N6" s="98"/>
    </row>
    <row r="7" spans="1:15" ht="16.5" customHeight="1">
      <c r="A7" s="63">
        <v>4</v>
      </c>
      <c r="B7" s="260" t="s">
        <v>172</v>
      </c>
      <c r="C7" s="262" t="s">
        <v>181</v>
      </c>
      <c r="D7" s="237">
        <v>8983434</v>
      </c>
      <c r="E7" s="238" t="s">
        <v>413</v>
      </c>
      <c r="F7" s="239">
        <v>1110366933</v>
      </c>
      <c r="G7" s="239">
        <v>3238066082</v>
      </c>
      <c r="H7" s="240" t="s">
        <v>414</v>
      </c>
      <c r="I7" s="98"/>
      <c r="J7" s="204" t="s">
        <v>178</v>
      </c>
      <c r="K7" s="282">
        <f>COUNTIF($B$19:$B$25,J7)</f>
        <v>7</v>
      </c>
      <c r="L7" s="3" t="s">
        <v>415</v>
      </c>
      <c r="M7" s="113">
        <v>3</v>
      </c>
      <c r="N7" s="98"/>
    </row>
    <row r="8" spans="1:15" ht="16.5" customHeight="1">
      <c r="A8" s="63">
        <v>5</v>
      </c>
      <c r="B8" s="260" t="s">
        <v>172</v>
      </c>
      <c r="C8" s="262" t="s">
        <v>410</v>
      </c>
      <c r="D8" s="237">
        <v>8983439</v>
      </c>
      <c r="E8" s="238" t="s">
        <v>416</v>
      </c>
      <c r="F8" s="239">
        <v>1004233840</v>
      </c>
      <c r="G8" s="239">
        <v>3154663074</v>
      </c>
      <c r="H8" s="240" t="s">
        <v>417</v>
      </c>
      <c r="I8" s="98"/>
      <c r="J8" s="319" t="s">
        <v>177</v>
      </c>
      <c r="K8" s="282">
        <f>COUNTIF($B$26:$B$31,J8)</f>
        <v>6</v>
      </c>
      <c r="L8" s="113" t="s">
        <v>188</v>
      </c>
      <c r="M8" s="113">
        <f>COUNTIF($C$4:$C$49,L8)</f>
        <v>4</v>
      </c>
      <c r="N8" s="98"/>
    </row>
    <row r="9" spans="1:15" ht="16.5" customHeight="1">
      <c r="A9" s="63">
        <v>6</v>
      </c>
      <c r="B9" s="260" t="s">
        <v>172</v>
      </c>
      <c r="C9" s="262" t="s">
        <v>410</v>
      </c>
      <c r="D9" s="237">
        <v>8982782</v>
      </c>
      <c r="E9" s="238" t="s">
        <v>418</v>
      </c>
      <c r="F9" s="239">
        <v>1107841192</v>
      </c>
      <c r="G9" s="239">
        <v>3154303646</v>
      </c>
      <c r="H9" s="240" t="s">
        <v>419</v>
      </c>
      <c r="I9" s="98"/>
      <c r="J9" s="319" t="s">
        <v>176</v>
      </c>
      <c r="K9" s="282">
        <f>COUNTIF($B$32:$B$37,J9)</f>
        <v>6</v>
      </c>
      <c r="L9" s="3" t="s">
        <v>420</v>
      </c>
      <c r="M9" s="113">
        <v>3</v>
      </c>
      <c r="N9" s="98"/>
    </row>
    <row r="10" spans="1:15" ht="16.5" customHeight="1">
      <c r="A10" s="63">
        <v>7</v>
      </c>
      <c r="B10" s="260" t="s">
        <v>172</v>
      </c>
      <c r="C10" s="262" t="s">
        <v>410</v>
      </c>
      <c r="D10" s="237">
        <v>8983218</v>
      </c>
      <c r="E10" s="238" t="s">
        <v>421</v>
      </c>
      <c r="F10" s="239">
        <v>1002822014</v>
      </c>
      <c r="G10" s="239">
        <v>3016321869</v>
      </c>
      <c r="H10" s="240" t="s">
        <v>422</v>
      </c>
      <c r="I10" s="98"/>
      <c r="J10" s="204" t="s">
        <v>175</v>
      </c>
      <c r="K10" s="282">
        <f>COUNTIF($B$38:$B$43,J10)</f>
        <v>6</v>
      </c>
      <c r="L10" s="113" t="s">
        <v>187</v>
      </c>
      <c r="M10" s="113">
        <f>COUNTIF($C$4:$C$49,L10)</f>
        <v>4</v>
      </c>
      <c r="N10" s="98"/>
    </row>
    <row r="11" spans="1:15" ht="16.5" customHeight="1">
      <c r="A11" s="63">
        <v>8</v>
      </c>
      <c r="B11" s="260" t="s">
        <v>172</v>
      </c>
      <c r="C11" s="262" t="s">
        <v>410</v>
      </c>
      <c r="D11" s="237">
        <v>8976351</v>
      </c>
      <c r="E11" s="238" t="s">
        <v>423</v>
      </c>
      <c r="F11" s="239">
        <v>1105361099</v>
      </c>
      <c r="G11" s="239">
        <v>3127773109</v>
      </c>
      <c r="H11" s="240" t="s">
        <v>424</v>
      </c>
      <c r="I11" s="98"/>
      <c r="J11" s="319" t="s">
        <v>174</v>
      </c>
      <c r="K11" s="282">
        <f>COUNTIF($B$44:$B$49,J11)</f>
        <v>6</v>
      </c>
      <c r="L11" s="3" t="s">
        <v>425</v>
      </c>
      <c r="M11" s="113">
        <v>4</v>
      </c>
      <c r="N11" s="98"/>
    </row>
    <row r="12" spans="1:15" ht="16.5" customHeight="1">
      <c r="A12" s="63">
        <v>9</v>
      </c>
      <c r="B12" s="260" t="s">
        <v>180</v>
      </c>
      <c r="C12" s="262" t="s">
        <v>189</v>
      </c>
      <c r="D12" s="237">
        <v>8977156</v>
      </c>
      <c r="E12" s="238" t="s">
        <v>426</v>
      </c>
      <c r="F12" s="239">
        <v>1111666073</v>
      </c>
      <c r="G12" s="239">
        <v>4867712</v>
      </c>
      <c r="H12" s="240" t="s">
        <v>427</v>
      </c>
      <c r="I12" s="98"/>
      <c r="J12" s="204" t="s">
        <v>173</v>
      </c>
      <c r="K12" s="282">
        <f>COUNTIF($B$4:$B$49,J12)</f>
        <v>0</v>
      </c>
      <c r="L12" s="113" t="s">
        <v>186</v>
      </c>
      <c r="M12" s="113">
        <f>COUNTIF($C$4:$C$49,L12)</f>
        <v>4</v>
      </c>
      <c r="N12" s="98"/>
    </row>
    <row r="13" spans="1:15" ht="16.5" customHeight="1">
      <c r="A13" s="63">
        <v>10</v>
      </c>
      <c r="B13" s="260" t="s">
        <v>180</v>
      </c>
      <c r="C13" s="262" t="s">
        <v>189</v>
      </c>
      <c r="D13" s="237">
        <v>8980227</v>
      </c>
      <c r="E13" s="238" t="s">
        <v>428</v>
      </c>
      <c r="F13" s="239">
        <v>1013257678</v>
      </c>
      <c r="G13" s="239">
        <v>3203448545</v>
      </c>
      <c r="H13" s="240" t="s">
        <v>429</v>
      </c>
      <c r="I13" s="98"/>
      <c r="J13" s="204" t="s">
        <v>430</v>
      </c>
      <c r="K13" s="282">
        <f>COUNTIF($B$4:$B$49,J13)</f>
        <v>0</v>
      </c>
      <c r="L13" s="3" t="s">
        <v>431</v>
      </c>
      <c r="M13" s="113">
        <v>4</v>
      </c>
      <c r="N13" s="98"/>
    </row>
    <row r="14" spans="1:15" ht="16.5" customHeight="1">
      <c r="A14" s="63">
        <v>11</v>
      </c>
      <c r="B14" s="260" t="s">
        <v>180</v>
      </c>
      <c r="C14" s="262" t="s">
        <v>189</v>
      </c>
      <c r="D14" s="237">
        <v>8980379</v>
      </c>
      <c r="E14" s="238" t="s">
        <v>432</v>
      </c>
      <c r="F14" s="239">
        <v>1094895161</v>
      </c>
      <c r="G14" s="239">
        <v>3154186231</v>
      </c>
      <c r="H14" s="240" t="s">
        <v>433</v>
      </c>
      <c r="I14" s="98"/>
      <c r="J14" s="99"/>
      <c r="K14" s="283">
        <f>SUM(K4:K13)</f>
        <v>46</v>
      </c>
      <c r="L14" s="113" t="s">
        <v>185</v>
      </c>
      <c r="M14" s="113">
        <f>COUNTIF($C$4:$C$49,L14)</f>
        <v>4</v>
      </c>
      <c r="N14" s="98"/>
    </row>
    <row r="15" spans="1:15" ht="16.5" customHeight="1">
      <c r="A15" s="63">
        <v>12</v>
      </c>
      <c r="B15" s="260" t="s">
        <v>180</v>
      </c>
      <c r="C15" s="262" t="s">
        <v>189</v>
      </c>
      <c r="D15" s="237">
        <v>8975329</v>
      </c>
      <c r="E15" s="238" t="s">
        <v>434</v>
      </c>
      <c r="F15" s="239">
        <v>1111542130</v>
      </c>
      <c r="G15" s="239">
        <v>6023065588</v>
      </c>
      <c r="H15" s="240" t="s">
        <v>435</v>
      </c>
      <c r="I15" s="98"/>
      <c r="J15" s="99"/>
      <c r="K15" s="99"/>
      <c r="L15" s="113" t="s">
        <v>436</v>
      </c>
      <c r="M15" s="113">
        <v>4</v>
      </c>
      <c r="N15" s="98"/>
    </row>
    <row r="16" spans="1:15" s="156" customFormat="1" ht="16.5" customHeight="1">
      <c r="A16" s="63">
        <v>13</v>
      </c>
      <c r="B16" s="260" t="s">
        <v>180</v>
      </c>
      <c r="C16" s="262" t="s">
        <v>415</v>
      </c>
      <c r="D16" s="237">
        <v>8976308</v>
      </c>
      <c r="E16" s="238" t="s">
        <v>437</v>
      </c>
      <c r="F16" s="239">
        <v>1002692587</v>
      </c>
      <c r="G16" s="239">
        <v>3118840891</v>
      </c>
      <c r="H16" s="240" t="s">
        <v>438</v>
      </c>
      <c r="I16" s="98"/>
      <c r="J16" s="99"/>
      <c r="K16" s="99"/>
      <c r="L16" s="99"/>
      <c r="M16" s="205">
        <f>SUM(M4:M15)</f>
        <v>46</v>
      </c>
      <c r="N16" s="155"/>
    </row>
    <row r="17" spans="1:14" s="156" customFormat="1" ht="16.5" customHeight="1">
      <c r="A17" s="63"/>
      <c r="B17" s="260" t="s">
        <v>180</v>
      </c>
      <c r="C17" s="262" t="s">
        <v>415</v>
      </c>
      <c r="D17" s="237">
        <v>8983109</v>
      </c>
      <c r="E17" s="238" t="s">
        <v>439</v>
      </c>
      <c r="F17" s="239">
        <v>1116071192</v>
      </c>
      <c r="G17" s="239">
        <v>2327029</v>
      </c>
      <c r="H17" s="240" t="s">
        <v>440</v>
      </c>
      <c r="I17" s="98"/>
      <c r="J17" s="99"/>
      <c r="K17" s="99"/>
      <c r="L17" s="99"/>
      <c r="M17" s="318"/>
      <c r="N17" s="155"/>
    </row>
    <row r="18" spans="1:14" s="156" customFormat="1" ht="16.5" customHeight="1">
      <c r="A18" s="63"/>
      <c r="B18" s="260" t="s">
        <v>180</v>
      </c>
      <c r="C18" s="262" t="s">
        <v>415</v>
      </c>
      <c r="D18" s="237">
        <v>8982662</v>
      </c>
      <c r="E18" s="238" t="s">
        <v>441</v>
      </c>
      <c r="F18" s="239">
        <v>1138524310</v>
      </c>
      <c r="G18" s="239">
        <v>3178211958</v>
      </c>
      <c r="H18" s="240" t="s">
        <v>442</v>
      </c>
      <c r="I18" s="98"/>
      <c r="J18" s="99"/>
      <c r="K18" s="99"/>
      <c r="L18" s="99"/>
      <c r="M18" s="318"/>
      <c r="N18" s="155"/>
    </row>
    <row r="19" spans="1:14" ht="16.5" customHeight="1">
      <c r="A19" s="63">
        <v>16</v>
      </c>
      <c r="B19" s="260" t="s">
        <v>178</v>
      </c>
      <c r="C19" s="262" t="s">
        <v>188</v>
      </c>
      <c r="D19" s="237">
        <v>8980584</v>
      </c>
      <c r="E19" s="238" t="s">
        <v>443</v>
      </c>
      <c r="F19" s="239">
        <v>1086774305</v>
      </c>
      <c r="G19" s="239">
        <v>3155081985</v>
      </c>
      <c r="H19" s="240" t="s">
        <v>444</v>
      </c>
      <c r="I19" s="98"/>
      <c r="J19" s="99"/>
      <c r="K19" s="99"/>
      <c r="L19" s="99"/>
      <c r="M19" s="99"/>
      <c r="N19" s="98"/>
    </row>
    <row r="20" spans="1:14" ht="16.5" customHeight="1">
      <c r="A20" s="63">
        <v>17</v>
      </c>
      <c r="B20" s="260" t="s">
        <v>178</v>
      </c>
      <c r="C20" s="262" t="s">
        <v>188</v>
      </c>
      <c r="D20" s="237">
        <v>8959054</v>
      </c>
      <c r="E20" s="238" t="s">
        <v>445</v>
      </c>
      <c r="F20" s="239">
        <v>1111540031</v>
      </c>
      <c r="G20" s="239">
        <v>3218468800</v>
      </c>
      <c r="H20" s="240" t="s">
        <v>446</v>
      </c>
      <c r="I20" s="98"/>
      <c r="J20" s="99"/>
      <c r="K20" s="99"/>
      <c r="L20" s="99"/>
      <c r="M20" s="99"/>
      <c r="N20" s="98"/>
    </row>
    <row r="21" spans="1:14" ht="16.5" customHeight="1">
      <c r="A21" s="63">
        <v>18</v>
      </c>
      <c r="B21" s="260" t="s">
        <v>178</v>
      </c>
      <c r="C21" s="262" t="s">
        <v>188</v>
      </c>
      <c r="D21" s="237">
        <v>8976806</v>
      </c>
      <c r="E21" s="238" t="s">
        <v>447</v>
      </c>
      <c r="F21" s="239">
        <v>1110290759</v>
      </c>
      <c r="G21" s="239">
        <v>3751782</v>
      </c>
      <c r="H21" s="240" t="s">
        <v>448</v>
      </c>
      <c r="I21" s="98"/>
      <c r="J21" s="436"/>
      <c r="K21" s="436"/>
      <c r="L21" s="99"/>
      <c r="M21" s="99"/>
      <c r="N21" s="98"/>
    </row>
    <row r="22" spans="1:14" ht="16.5" customHeight="1">
      <c r="A22" s="63">
        <v>19</v>
      </c>
      <c r="B22" s="260" t="s">
        <v>178</v>
      </c>
      <c r="C22" s="262" t="s">
        <v>188</v>
      </c>
      <c r="D22" s="237">
        <v>8975337</v>
      </c>
      <c r="E22" s="238" t="s">
        <v>449</v>
      </c>
      <c r="F22" s="239">
        <v>1105361108</v>
      </c>
      <c r="G22" s="239">
        <v>3209860209</v>
      </c>
      <c r="H22" s="240" t="s">
        <v>450</v>
      </c>
      <c r="I22" s="98"/>
      <c r="J22" s="99"/>
      <c r="K22" s="99"/>
      <c r="L22" s="99"/>
      <c r="M22" s="99"/>
      <c r="N22" s="98"/>
    </row>
    <row r="23" spans="1:14" ht="16.5" customHeight="1">
      <c r="A23" s="63">
        <v>20</v>
      </c>
      <c r="B23" s="260" t="s">
        <v>178</v>
      </c>
      <c r="C23" s="262" t="s">
        <v>420</v>
      </c>
      <c r="D23" s="237">
        <v>8963123</v>
      </c>
      <c r="E23" s="238" t="s">
        <v>451</v>
      </c>
      <c r="F23" s="239">
        <v>1104254074</v>
      </c>
      <c r="G23" s="239">
        <v>3116336683</v>
      </c>
      <c r="H23" s="240" t="s">
        <v>452</v>
      </c>
      <c r="I23" s="98"/>
      <c r="J23" s="99"/>
      <c r="K23" s="99"/>
      <c r="L23" s="99"/>
      <c r="M23" s="99"/>
      <c r="N23" s="98"/>
    </row>
    <row r="24" spans="1:14" ht="16.5" customHeight="1">
      <c r="A24" s="63">
        <v>21</v>
      </c>
      <c r="B24" s="260" t="s">
        <v>178</v>
      </c>
      <c r="C24" s="262" t="s">
        <v>420</v>
      </c>
      <c r="D24" s="237">
        <v>8976489</v>
      </c>
      <c r="E24" s="238" t="s">
        <v>453</v>
      </c>
      <c r="F24" s="239">
        <v>1058932272</v>
      </c>
      <c r="G24" s="239">
        <v>3142797753</v>
      </c>
      <c r="H24" s="240" t="s">
        <v>454</v>
      </c>
      <c r="I24" s="98"/>
      <c r="J24" s="99"/>
      <c r="K24" s="99"/>
      <c r="L24" s="99"/>
      <c r="M24" s="99"/>
      <c r="N24" s="98"/>
    </row>
    <row r="25" spans="1:14" ht="16.5" customHeight="1">
      <c r="A25" s="63">
        <v>22</v>
      </c>
      <c r="B25" s="260" t="s">
        <v>178</v>
      </c>
      <c r="C25" s="262" t="s">
        <v>420</v>
      </c>
      <c r="D25" s="237">
        <v>8975696</v>
      </c>
      <c r="E25" s="238" t="s">
        <v>455</v>
      </c>
      <c r="F25" s="239">
        <v>1011320136</v>
      </c>
      <c r="G25" s="239">
        <v>3174796858</v>
      </c>
      <c r="H25" s="240" t="s">
        <v>456</v>
      </c>
      <c r="I25" s="98"/>
      <c r="J25" s="99"/>
      <c r="K25" s="99"/>
      <c r="L25" s="99"/>
      <c r="M25" s="99"/>
      <c r="N25" s="98"/>
    </row>
    <row r="26" spans="1:14" ht="16.5" customHeight="1">
      <c r="A26" s="63">
        <v>23</v>
      </c>
      <c r="B26" s="260" t="s">
        <v>177</v>
      </c>
      <c r="C26" s="262" t="s">
        <v>187</v>
      </c>
      <c r="D26" s="263">
        <v>8976712</v>
      </c>
      <c r="E26" s="264" t="s">
        <v>457</v>
      </c>
      <c r="F26" s="265">
        <v>1007489216</v>
      </c>
      <c r="G26" s="265">
        <v>3238051786</v>
      </c>
      <c r="H26" s="266" t="s">
        <v>458</v>
      </c>
      <c r="I26" s="98"/>
      <c r="J26" s="99"/>
      <c r="K26" s="99"/>
      <c r="L26" s="99"/>
      <c r="M26" s="99"/>
      <c r="N26" s="98"/>
    </row>
    <row r="27" spans="1:14" ht="16.5" customHeight="1">
      <c r="A27" s="63">
        <v>24</v>
      </c>
      <c r="B27" s="260" t="s">
        <v>177</v>
      </c>
      <c r="C27" s="262" t="s">
        <v>187</v>
      </c>
      <c r="D27" s="263">
        <v>8961971</v>
      </c>
      <c r="E27" s="264" t="s">
        <v>459</v>
      </c>
      <c r="F27" s="265">
        <v>1062274950</v>
      </c>
      <c r="G27" s="265">
        <v>8442517</v>
      </c>
      <c r="H27" s="266" t="s">
        <v>460</v>
      </c>
      <c r="I27" s="98"/>
      <c r="J27" s="99"/>
      <c r="K27" s="99"/>
      <c r="L27" s="99"/>
      <c r="M27" s="99"/>
      <c r="N27" s="98"/>
    </row>
    <row r="28" spans="1:14" ht="16.5" customHeight="1">
      <c r="A28" s="63">
        <v>25</v>
      </c>
      <c r="B28" s="260" t="s">
        <v>177</v>
      </c>
      <c r="C28" s="262" t="s">
        <v>187</v>
      </c>
      <c r="D28" s="263">
        <v>8973657</v>
      </c>
      <c r="E28" s="264" t="s">
        <v>461</v>
      </c>
      <c r="F28" s="265">
        <v>1000612088</v>
      </c>
      <c r="G28" s="265">
        <v>3187653619</v>
      </c>
      <c r="H28" s="266" t="s">
        <v>462</v>
      </c>
      <c r="I28" s="98" t="s">
        <v>401</v>
      </c>
      <c r="J28" s="99" t="s">
        <v>401</v>
      </c>
      <c r="K28" s="99" t="s">
        <v>401</v>
      </c>
      <c r="L28" s="99" t="s">
        <v>401</v>
      </c>
      <c r="M28" s="99" t="s">
        <v>401</v>
      </c>
      <c r="N28" s="98" t="s">
        <v>401</v>
      </c>
    </row>
    <row r="29" spans="1:14" ht="16.5" customHeight="1">
      <c r="A29" s="63">
        <v>26</v>
      </c>
      <c r="B29" s="260" t="s">
        <v>177</v>
      </c>
      <c r="C29" s="262" t="s">
        <v>187</v>
      </c>
      <c r="D29" s="263">
        <v>8965788</v>
      </c>
      <c r="E29" s="264" t="s">
        <v>463</v>
      </c>
      <c r="F29" s="265">
        <v>1081287505</v>
      </c>
      <c r="G29" s="265">
        <v>5921888</v>
      </c>
      <c r="H29" s="266" t="s">
        <v>464</v>
      </c>
      <c r="I29" s="98"/>
      <c r="J29" s="99"/>
      <c r="K29" s="99"/>
      <c r="L29" s="99"/>
      <c r="M29" s="99"/>
      <c r="N29" s="98"/>
    </row>
    <row r="30" spans="1:14" ht="16.5" customHeight="1">
      <c r="A30" s="63">
        <v>27</v>
      </c>
      <c r="B30" s="260" t="s">
        <v>177</v>
      </c>
      <c r="C30" s="262" t="s">
        <v>425</v>
      </c>
      <c r="D30" s="263">
        <v>8965854</v>
      </c>
      <c r="E30" s="264" t="s">
        <v>465</v>
      </c>
      <c r="F30" s="265">
        <v>1006208382</v>
      </c>
      <c r="G30" s="265">
        <v>3006849528</v>
      </c>
      <c r="H30" s="266" t="s">
        <v>466</v>
      </c>
      <c r="I30" s="98"/>
      <c r="J30" s="99"/>
      <c r="K30" s="99"/>
      <c r="L30" s="99"/>
      <c r="M30" s="99"/>
      <c r="N30" s="98"/>
    </row>
    <row r="31" spans="1:14" ht="16.5" customHeight="1">
      <c r="A31" s="63">
        <v>28</v>
      </c>
      <c r="B31" s="260" t="s">
        <v>177</v>
      </c>
      <c r="C31" s="262" t="s">
        <v>425</v>
      </c>
      <c r="D31" s="263">
        <v>8977306</v>
      </c>
      <c r="E31" s="264" t="s">
        <v>467</v>
      </c>
      <c r="F31" s="265">
        <v>1105361748</v>
      </c>
      <c r="G31" s="265">
        <v>3006107656</v>
      </c>
      <c r="H31" s="266" t="s">
        <v>468</v>
      </c>
      <c r="I31" s="98"/>
      <c r="J31" s="99"/>
      <c r="K31" s="99"/>
      <c r="L31" s="99"/>
      <c r="M31" s="99"/>
      <c r="N31" s="98"/>
    </row>
    <row r="32" spans="1:14" ht="16.5" customHeight="1">
      <c r="A32" s="63">
        <v>29</v>
      </c>
      <c r="B32" s="260" t="s">
        <v>176</v>
      </c>
      <c r="C32" s="262" t="s">
        <v>425</v>
      </c>
      <c r="D32" s="263">
        <v>8974659</v>
      </c>
      <c r="E32" s="264" t="s">
        <v>469</v>
      </c>
      <c r="F32" s="265">
        <v>1112039394</v>
      </c>
      <c r="G32" s="265">
        <v>8963786</v>
      </c>
      <c r="H32" s="266" t="s">
        <v>470</v>
      </c>
      <c r="I32" s="98"/>
      <c r="J32" s="99"/>
      <c r="K32" s="99"/>
      <c r="L32" s="99"/>
      <c r="M32" s="99"/>
      <c r="N32" s="98"/>
    </row>
    <row r="33" spans="1:14" ht="16.5" customHeight="1">
      <c r="A33" s="63">
        <v>30</v>
      </c>
      <c r="B33" s="260" t="s">
        <v>176</v>
      </c>
      <c r="C33" s="262" t="s">
        <v>425</v>
      </c>
      <c r="D33" s="263">
        <v>8977309</v>
      </c>
      <c r="E33" s="264" t="s">
        <v>471</v>
      </c>
      <c r="F33" s="265">
        <v>1105365206</v>
      </c>
      <c r="G33" s="265">
        <v>3017032295</v>
      </c>
      <c r="H33" s="266" t="s">
        <v>472</v>
      </c>
      <c r="I33" s="98"/>
      <c r="J33" s="99"/>
      <c r="K33" s="99"/>
      <c r="L33" s="99"/>
      <c r="M33" s="99"/>
      <c r="N33" s="98"/>
    </row>
    <row r="34" spans="1:14" ht="16.5" customHeight="1">
      <c r="A34" s="63">
        <v>31</v>
      </c>
      <c r="B34" s="260" t="s">
        <v>176</v>
      </c>
      <c r="C34" s="262" t="s">
        <v>186</v>
      </c>
      <c r="D34" s="263">
        <v>8973525</v>
      </c>
      <c r="E34" s="264" t="s">
        <v>473</v>
      </c>
      <c r="F34" s="265">
        <v>1105360281</v>
      </c>
      <c r="G34" s="265">
        <v>6025554084</v>
      </c>
      <c r="H34" s="266" t="s">
        <v>474</v>
      </c>
      <c r="I34" s="98"/>
      <c r="J34" s="99"/>
      <c r="K34" s="99"/>
      <c r="L34" s="99"/>
      <c r="M34" s="99"/>
      <c r="N34" s="98"/>
    </row>
    <row r="35" spans="1:14" ht="16.5" customHeight="1">
      <c r="A35" s="63">
        <v>32</v>
      </c>
      <c r="B35" s="260" t="s">
        <v>176</v>
      </c>
      <c r="C35" s="262" t="s">
        <v>186</v>
      </c>
      <c r="D35" s="263">
        <v>8966398</v>
      </c>
      <c r="E35" s="264" t="s">
        <v>475</v>
      </c>
      <c r="F35" s="265">
        <v>1005744894</v>
      </c>
      <c r="G35" s="265">
        <v>3244917266</v>
      </c>
      <c r="H35" s="266" t="s">
        <v>476</v>
      </c>
      <c r="I35" s="98"/>
      <c r="J35" s="99"/>
      <c r="K35" s="99"/>
      <c r="L35" s="99"/>
      <c r="M35" s="99"/>
      <c r="N35" s="98"/>
    </row>
    <row r="36" spans="1:14" ht="16.5" customHeight="1">
      <c r="A36" s="63">
        <v>33</v>
      </c>
      <c r="B36" s="260" t="s">
        <v>176</v>
      </c>
      <c r="C36" s="262" t="s">
        <v>186</v>
      </c>
      <c r="D36" s="263">
        <v>8976954</v>
      </c>
      <c r="E36" s="264" t="s">
        <v>477</v>
      </c>
      <c r="F36" s="265">
        <v>1112390120</v>
      </c>
      <c r="G36" s="265">
        <v>3184422855</v>
      </c>
      <c r="H36" s="266" t="s">
        <v>478</v>
      </c>
      <c r="I36" s="98"/>
      <c r="J36" s="99"/>
      <c r="K36" s="99"/>
      <c r="L36" s="99"/>
      <c r="M36" s="99"/>
      <c r="N36" s="98"/>
    </row>
    <row r="37" spans="1:14" ht="16.5" customHeight="1">
      <c r="A37" s="63">
        <v>34</v>
      </c>
      <c r="B37" s="260" t="s">
        <v>176</v>
      </c>
      <c r="C37" s="262" t="s">
        <v>186</v>
      </c>
      <c r="D37" s="263">
        <v>8981218</v>
      </c>
      <c r="E37" s="264" t="s">
        <v>479</v>
      </c>
      <c r="F37" s="265">
        <v>1107841677</v>
      </c>
      <c r="G37" s="265">
        <v>4426830</v>
      </c>
      <c r="H37" s="266" t="s">
        <v>480</v>
      </c>
      <c r="I37" s="98"/>
      <c r="J37" s="99"/>
      <c r="K37" s="99"/>
      <c r="L37" s="99"/>
      <c r="M37" s="99"/>
      <c r="N37" s="98"/>
    </row>
    <row r="38" spans="1:14" ht="16.5" customHeight="1">
      <c r="A38" s="63">
        <v>35</v>
      </c>
      <c r="B38" s="260" t="s">
        <v>175</v>
      </c>
      <c r="C38" s="262" t="s">
        <v>431</v>
      </c>
      <c r="D38" s="263">
        <v>8976260</v>
      </c>
      <c r="E38" s="264" t="s">
        <v>481</v>
      </c>
      <c r="F38" s="265">
        <v>1061691212</v>
      </c>
      <c r="G38" s="265">
        <v>3233620499</v>
      </c>
      <c r="H38" s="266" t="s">
        <v>482</v>
      </c>
      <c r="I38" s="98"/>
      <c r="J38" s="99"/>
      <c r="K38" s="99"/>
      <c r="L38" s="99"/>
      <c r="M38" s="99"/>
      <c r="N38" s="98"/>
    </row>
    <row r="39" spans="1:14" ht="16.5" customHeight="1">
      <c r="A39" s="63">
        <v>36</v>
      </c>
      <c r="B39" s="260" t="s">
        <v>175</v>
      </c>
      <c r="C39" s="262" t="s">
        <v>431</v>
      </c>
      <c r="D39" s="263">
        <v>8981455</v>
      </c>
      <c r="E39" s="264" t="s">
        <v>483</v>
      </c>
      <c r="F39" s="265">
        <v>1080046488</v>
      </c>
      <c r="G39" s="265">
        <v>3113349619</v>
      </c>
      <c r="H39" s="266" t="s">
        <v>484</v>
      </c>
      <c r="I39" s="98"/>
      <c r="J39" s="99"/>
      <c r="K39" s="99"/>
      <c r="L39" s="99"/>
      <c r="M39" s="99"/>
      <c r="N39" s="98"/>
    </row>
    <row r="40" spans="1:14" ht="16.5" customHeight="1">
      <c r="A40" s="63">
        <v>37</v>
      </c>
      <c r="B40" s="260" t="s">
        <v>175</v>
      </c>
      <c r="C40" s="262" t="s">
        <v>431</v>
      </c>
      <c r="D40" s="263">
        <v>8982206</v>
      </c>
      <c r="E40" s="264" t="s">
        <v>485</v>
      </c>
      <c r="F40" s="265">
        <v>1027524545</v>
      </c>
      <c r="G40" s="265">
        <v>8337909</v>
      </c>
      <c r="H40" s="266" t="s">
        <v>486</v>
      </c>
      <c r="I40" s="98"/>
      <c r="J40" s="99"/>
      <c r="K40" s="99"/>
      <c r="L40" s="99"/>
      <c r="M40" s="99"/>
      <c r="N40" s="98"/>
    </row>
    <row r="41" spans="1:14" ht="16.5" customHeight="1">
      <c r="A41" s="63">
        <v>38</v>
      </c>
      <c r="B41" s="260" t="s">
        <v>175</v>
      </c>
      <c r="C41" s="262" t="s">
        <v>431</v>
      </c>
      <c r="D41" s="263">
        <v>8958606</v>
      </c>
      <c r="E41" s="264" t="s">
        <v>487</v>
      </c>
      <c r="F41" s="265">
        <v>1007461341</v>
      </c>
      <c r="G41" s="265">
        <v>3054361</v>
      </c>
      <c r="H41" s="266" t="s">
        <v>488</v>
      </c>
      <c r="I41" s="98"/>
      <c r="J41" s="99"/>
      <c r="K41" s="99"/>
      <c r="L41" s="99"/>
      <c r="M41" s="99"/>
      <c r="N41" s="98"/>
    </row>
    <row r="42" spans="1:14" ht="16.5" customHeight="1">
      <c r="A42" s="63">
        <v>39</v>
      </c>
      <c r="B42" s="260" t="s">
        <v>175</v>
      </c>
      <c r="C42" s="262" t="s">
        <v>185</v>
      </c>
      <c r="D42" s="263">
        <v>8966548</v>
      </c>
      <c r="E42" s="264" t="s">
        <v>489</v>
      </c>
      <c r="F42" s="265">
        <v>1002198207</v>
      </c>
      <c r="G42" s="265">
        <v>3186506943</v>
      </c>
      <c r="H42" s="266" t="s">
        <v>490</v>
      </c>
      <c r="I42" s="98"/>
      <c r="J42" s="99"/>
      <c r="K42" s="99"/>
      <c r="L42" s="99"/>
      <c r="M42" s="99"/>
      <c r="N42" s="98"/>
    </row>
    <row r="43" spans="1:14" ht="16.5" customHeight="1">
      <c r="A43" s="63">
        <v>40</v>
      </c>
      <c r="B43" s="260" t="s">
        <v>175</v>
      </c>
      <c r="C43" s="262" t="s">
        <v>185</v>
      </c>
      <c r="D43" s="263">
        <v>8980934</v>
      </c>
      <c r="E43" s="264" t="s">
        <v>491</v>
      </c>
      <c r="F43" s="265">
        <v>1006166485</v>
      </c>
      <c r="G43" s="265">
        <v>3205531062</v>
      </c>
      <c r="H43" s="266" t="s">
        <v>492</v>
      </c>
      <c r="I43" s="98"/>
      <c r="J43" s="99"/>
      <c r="K43" s="99"/>
      <c r="L43" s="99"/>
      <c r="M43" s="99"/>
      <c r="N43" s="98"/>
    </row>
    <row r="44" spans="1:14" ht="16.5" customHeight="1">
      <c r="A44" s="63">
        <v>41</v>
      </c>
      <c r="B44" s="260" t="s">
        <v>174</v>
      </c>
      <c r="C44" s="262" t="s">
        <v>185</v>
      </c>
      <c r="D44" s="263">
        <v>8966557</v>
      </c>
      <c r="E44" s="264" t="s">
        <v>493</v>
      </c>
      <c r="F44" s="265">
        <v>1111478074</v>
      </c>
      <c r="G44" s="265">
        <v>3154933244</v>
      </c>
      <c r="H44" s="266" t="s">
        <v>494</v>
      </c>
      <c r="I44" s="98"/>
      <c r="J44" s="99"/>
      <c r="K44" s="99"/>
      <c r="L44" s="99"/>
      <c r="M44" s="99"/>
      <c r="N44" s="98"/>
    </row>
    <row r="45" spans="1:14" ht="16.5" customHeight="1">
      <c r="A45" s="63">
        <v>42</v>
      </c>
      <c r="B45" s="260" t="s">
        <v>174</v>
      </c>
      <c r="C45" s="262" t="s">
        <v>185</v>
      </c>
      <c r="D45" s="263">
        <v>8975699</v>
      </c>
      <c r="E45" s="264" t="s">
        <v>495</v>
      </c>
      <c r="F45" s="265">
        <v>1107842055</v>
      </c>
      <c r="G45" s="265">
        <v>3006905175</v>
      </c>
      <c r="H45" s="266" t="s">
        <v>496</v>
      </c>
      <c r="I45" s="98"/>
      <c r="J45" s="99"/>
      <c r="K45" s="99"/>
      <c r="L45" s="99"/>
      <c r="M45" s="99"/>
      <c r="N45" s="98"/>
    </row>
    <row r="46" spans="1:14" ht="16.5" customHeight="1">
      <c r="A46" s="63">
        <v>43</v>
      </c>
      <c r="B46" s="260" t="s">
        <v>174</v>
      </c>
      <c r="C46" s="262" t="s">
        <v>436</v>
      </c>
      <c r="D46" s="263">
        <v>8973448</v>
      </c>
      <c r="E46" s="264" t="s">
        <v>497</v>
      </c>
      <c r="F46" s="265">
        <v>1081053438</v>
      </c>
      <c r="G46" s="265">
        <v>3116511165</v>
      </c>
      <c r="H46" s="266" t="s">
        <v>498</v>
      </c>
      <c r="I46" s="98"/>
      <c r="J46" s="99"/>
      <c r="K46" s="99"/>
      <c r="L46" s="99"/>
      <c r="M46" s="99"/>
      <c r="N46" s="98"/>
    </row>
    <row r="47" spans="1:14" ht="16.5" customHeight="1">
      <c r="A47" s="63">
        <v>44</v>
      </c>
      <c r="B47" s="260" t="s">
        <v>174</v>
      </c>
      <c r="C47" s="262" t="s">
        <v>436</v>
      </c>
      <c r="D47" s="263">
        <v>8963207</v>
      </c>
      <c r="E47" s="264" t="s">
        <v>499</v>
      </c>
      <c r="F47" s="265">
        <v>1108333193</v>
      </c>
      <c r="G47" s="265">
        <v>6318343</v>
      </c>
      <c r="H47" s="266" t="s">
        <v>500</v>
      </c>
      <c r="I47" s="98"/>
      <c r="J47" s="99"/>
      <c r="K47" s="99"/>
      <c r="L47" s="99"/>
      <c r="M47" s="99"/>
      <c r="N47" s="98"/>
    </row>
    <row r="48" spans="1:14" ht="16.5" customHeight="1">
      <c r="A48" s="63">
        <v>45</v>
      </c>
      <c r="B48" s="260" t="s">
        <v>174</v>
      </c>
      <c r="C48" s="262" t="s">
        <v>436</v>
      </c>
      <c r="D48" s="263">
        <v>8977413</v>
      </c>
      <c r="E48" s="264" t="s">
        <v>501</v>
      </c>
      <c r="F48" s="265">
        <v>1111479848</v>
      </c>
      <c r="G48" s="265">
        <v>3174647948</v>
      </c>
      <c r="H48" s="266" t="s">
        <v>502</v>
      </c>
      <c r="I48" s="98"/>
      <c r="J48" s="99"/>
      <c r="K48" s="99"/>
      <c r="L48" s="99"/>
      <c r="M48" s="99"/>
      <c r="N48" s="98"/>
    </row>
    <row r="49" spans="1:14" ht="16.5" customHeight="1">
      <c r="A49" s="63">
        <v>46</v>
      </c>
      <c r="B49" s="260" t="s">
        <v>174</v>
      </c>
      <c r="C49" s="262" t="s">
        <v>436</v>
      </c>
      <c r="D49" s="263">
        <v>8973719</v>
      </c>
      <c r="E49" s="264" t="s">
        <v>503</v>
      </c>
      <c r="F49" s="265">
        <v>1081053415</v>
      </c>
      <c r="G49" s="265">
        <v>3116274862</v>
      </c>
      <c r="H49" s="266" t="s">
        <v>504</v>
      </c>
      <c r="I49" s="98"/>
      <c r="J49" s="99"/>
      <c r="K49" s="99"/>
      <c r="L49" s="99"/>
      <c r="M49" s="99"/>
      <c r="N49" s="98"/>
    </row>
    <row r="50" spans="1:14" ht="16.5" customHeight="1">
      <c r="A50" s="99"/>
      <c r="B50" s="99"/>
      <c r="C50" s="99"/>
      <c r="D50" s="99"/>
      <c r="E50" s="98"/>
      <c r="F50" s="99"/>
      <c r="G50" s="99"/>
      <c r="H50" s="112"/>
      <c r="I50" s="98"/>
      <c r="J50" s="99"/>
      <c r="K50" s="99"/>
      <c r="L50" s="99"/>
      <c r="M50" s="99"/>
      <c r="N50" s="98"/>
    </row>
    <row r="51" spans="1:14" ht="16.5" customHeight="1">
      <c r="A51" s="99"/>
      <c r="B51" s="99"/>
      <c r="C51" s="99"/>
      <c r="D51" s="99"/>
      <c r="E51" s="98"/>
      <c r="F51" s="99"/>
      <c r="G51" s="99"/>
      <c r="H51" s="112"/>
      <c r="I51" s="98"/>
      <c r="J51" s="99"/>
      <c r="K51" s="99"/>
      <c r="L51" s="99"/>
      <c r="M51" s="99"/>
      <c r="N51" s="98"/>
    </row>
    <row r="52" spans="1:14" ht="16.5" customHeight="1">
      <c r="A52" s="99"/>
      <c r="B52" s="99"/>
      <c r="C52" s="99"/>
      <c r="D52" s="99"/>
      <c r="E52" s="98"/>
      <c r="F52" s="99"/>
      <c r="G52" s="99"/>
      <c r="H52" s="112"/>
      <c r="I52" s="98"/>
      <c r="J52" s="99"/>
      <c r="K52" s="99"/>
      <c r="L52" s="99"/>
      <c r="M52" s="99"/>
      <c r="N52" s="98"/>
    </row>
    <row r="53" spans="1:14" ht="16.5" customHeight="1">
      <c r="A53" s="99"/>
      <c r="B53" s="99"/>
      <c r="C53" s="99"/>
      <c r="D53" s="99"/>
      <c r="E53" s="98"/>
      <c r="F53" s="99"/>
      <c r="G53" s="99"/>
      <c r="H53" s="112"/>
      <c r="I53" s="98"/>
      <c r="J53" s="99"/>
      <c r="K53" s="99"/>
      <c r="L53" s="99"/>
      <c r="M53" s="99"/>
      <c r="N53" s="98"/>
    </row>
    <row r="54" spans="1:14" ht="16.5" customHeight="1">
      <c r="A54" s="99"/>
      <c r="B54" s="99"/>
      <c r="C54" s="99"/>
      <c r="D54" s="99"/>
      <c r="E54" s="98"/>
      <c r="F54" s="99"/>
      <c r="G54" s="99"/>
      <c r="H54" s="112"/>
      <c r="I54" s="98"/>
      <c r="J54" s="99"/>
      <c r="K54" s="99"/>
      <c r="L54" s="99"/>
      <c r="M54" s="99"/>
      <c r="N54" s="98"/>
    </row>
    <row r="55" spans="1:14" ht="16.5" customHeight="1">
      <c r="A55" s="99"/>
      <c r="B55" s="99"/>
      <c r="C55" s="99"/>
      <c r="D55" s="99"/>
      <c r="E55" s="98"/>
      <c r="F55" s="99"/>
      <c r="G55" s="99"/>
      <c r="H55" s="112"/>
      <c r="I55" s="98"/>
      <c r="J55" s="99"/>
      <c r="K55" s="99"/>
      <c r="L55" s="99"/>
      <c r="M55" s="99"/>
      <c r="N55" s="98"/>
    </row>
    <row r="56" spans="1:14" ht="16.5" customHeight="1">
      <c r="A56" s="99"/>
      <c r="B56" s="99"/>
      <c r="C56" s="99"/>
      <c r="D56" s="99"/>
      <c r="E56" s="98"/>
      <c r="F56" s="99"/>
      <c r="G56" s="99"/>
      <c r="H56" s="112"/>
      <c r="I56" s="98"/>
      <c r="J56" s="99"/>
      <c r="K56" s="99"/>
      <c r="L56" s="99"/>
      <c r="M56" s="99"/>
      <c r="N56" s="98"/>
    </row>
    <row r="57" spans="1:14" ht="16.5" customHeight="1">
      <c r="A57" s="99"/>
      <c r="B57" s="99"/>
      <c r="C57" s="99"/>
      <c r="D57" s="99"/>
      <c r="E57" s="98"/>
      <c r="F57" s="99"/>
      <c r="G57" s="99"/>
      <c r="H57" s="112" t="s">
        <v>414</v>
      </c>
      <c r="I57" s="98"/>
      <c r="J57" s="99"/>
      <c r="K57" s="99"/>
      <c r="L57" s="99"/>
      <c r="M57" s="99"/>
      <c r="N57" s="98"/>
    </row>
    <row r="58" spans="1:14" ht="16.5" customHeight="1">
      <c r="A58" s="99"/>
      <c r="B58" s="99"/>
      <c r="C58" s="99"/>
      <c r="D58" s="99"/>
      <c r="E58" s="98"/>
      <c r="F58" s="99"/>
      <c r="G58" s="99"/>
      <c r="H58" s="112" t="s">
        <v>440</v>
      </c>
      <c r="I58" s="98"/>
      <c r="J58" s="99"/>
      <c r="K58" s="99"/>
      <c r="L58" s="99"/>
      <c r="M58" s="99"/>
      <c r="N58" s="98"/>
    </row>
    <row r="59" spans="1:14" ht="16.5" customHeight="1">
      <c r="A59" s="99"/>
      <c r="B59" s="99"/>
      <c r="C59" s="99"/>
      <c r="D59" s="99"/>
      <c r="E59" s="98"/>
      <c r="F59" s="99"/>
      <c r="G59" s="99"/>
      <c r="H59" s="112" t="s">
        <v>442</v>
      </c>
      <c r="I59" s="98"/>
      <c r="J59" s="99"/>
      <c r="K59" s="99"/>
      <c r="L59" s="99"/>
      <c r="M59" s="99"/>
      <c r="N59" s="98"/>
    </row>
    <row r="60" spans="1:14" ht="16.5" customHeight="1">
      <c r="A60" s="99"/>
      <c r="B60" s="99"/>
      <c r="C60" s="99"/>
      <c r="D60" s="99"/>
      <c r="E60" s="98"/>
      <c r="F60" s="99"/>
      <c r="G60" s="99"/>
      <c r="H60" s="112"/>
    </row>
    <row r="61" spans="1:14" ht="16.5" customHeight="1">
      <c r="A61" s="99"/>
      <c r="B61" s="99"/>
      <c r="C61" s="99"/>
      <c r="D61" s="99"/>
      <c r="E61" s="98"/>
      <c r="F61" s="99"/>
      <c r="G61" s="99"/>
      <c r="H61" s="112"/>
    </row>
    <row r="62" spans="1:14" ht="16.5" customHeight="1">
      <c r="A62" s="99"/>
      <c r="B62" s="99"/>
      <c r="C62" s="99"/>
      <c r="D62" s="99"/>
      <c r="E62" s="98"/>
      <c r="F62" s="99"/>
      <c r="G62" s="99"/>
      <c r="H62" s="112"/>
    </row>
    <row r="63" spans="1:14" ht="16.5" customHeight="1">
      <c r="A63" s="99"/>
      <c r="B63" s="99"/>
      <c r="C63" s="99"/>
      <c r="D63" s="99"/>
      <c r="E63" s="98"/>
      <c r="F63" s="99"/>
      <c r="G63" s="99"/>
      <c r="H63" s="112"/>
    </row>
    <row r="64" spans="1:14" ht="16.5" customHeight="1">
      <c r="B64" s="99"/>
      <c r="C64" s="99"/>
      <c r="D64" s="99"/>
      <c r="E64" s="98"/>
      <c r="F64" s="99"/>
      <c r="G64" s="99"/>
      <c r="H64" s="112"/>
    </row>
    <row r="65" spans="2:8" ht="16.5" customHeight="1">
      <c r="B65" s="99"/>
      <c r="C65" s="99"/>
      <c r="D65" s="99"/>
      <c r="E65" s="98"/>
      <c r="F65" s="99"/>
      <c r="G65" s="99"/>
      <c r="H65" s="112"/>
    </row>
    <row r="66" spans="2:8" ht="16.5" customHeight="1">
      <c r="B66" s="99"/>
      <c r="C66" s="99"/>
      <c r="D66" s="99"/>
      <c r="E66" s="98"/>
      <c r="F66" s="99"/>
      <c r="G66" s="99"/>
      <c r="H66" s="112"/>
    </row>
    <row r="67" spans="2:8" ht="16.5" customHeight="1">
      <c r="B67" s="99"/>
      <c r="C67" s="99"/>
      <c r="D67" s="99"/>
      <c r="E67" s="98"/>
      <c r="F67" s="99"/>
      <c r="G67" s="99"/>
      <c r="H67" s="112"/>
    </row>
  </sheetData>
  <autoFilter ref="A3:O49" xr:uid="{B2B3FBF4-6768-4062-94A4-2757FF493053}">
    <filterColumn colId="9" showButton="0"/>
    <filterColumn colId="11" showButton="0"/>
  </autoFilter>
  <sortState xmlns:xlrd2="http://schemas.microsoft.com/office/spreadsheetml/2017/richdata2" ref="B4:H25">
    <sortCondition ref="B4:B25"/>
  </sortState>
  <mergeCells count="5">
    <mergeCell ref="J3:K3"/>
    <mergeCell ref="L3:M3"/>
    <mergeCell ref="J21:K21"/>
    <mergeCell ref="A1:H1"/>
    <mergeCell ref="A2:H2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B684-FEBB-4452-977F-88A9E26F5DE5}">
  <sheetPr>
    <tabColor rgb="FF92D050"/>
  </sheetPr>
  <dimension ref="A1:AB27"/>
  <sheetViews>
    <sheetView topLeftCell="A7" zoomScale="80" zoomScaleNormal="80" workbookViewId="0">
      <selection activeCell="B16" sqref="B16"/>
    </sheetView>
  </sheetViews>
  <sheetFormatPr defaultColWidth="6.140625" defaultRowHeight="14.45"/>
  <cols>
    <col min="1" max="1" width="6.140625" style="2"/>
    <col min="2" max="2" width="33.7109375" style="2" customWidth="1"/>
    <col min="3" max="4" width="6.140625" style="1" customWidth="1"/>
    <col min="5" max="5" width="7.140625" style="1" customWidth="1"/>
    <col min="6" max="12" width="6.140625" style="1" customWidth="1"/>
    <col min="13" max="13" width="6.85546875" style="1" customWidth="1"/>
    <col min="14" max="14" width="10.85546875" style="1" customWidth="1"/>
    <col min="15" max="15" width="6" style="1" customWidth="1"/>
    <col min="16" max="16" width="6.5703125" style="1" bestFit="1" customWidth="1"/>
    <col min="17" max="17" width="6.140625" style="1"/>
    <col min="18" max="18" width="6.42578125" style="1" bestFit="1" customWidth="1"/>
    <col min="19" max="19" width="6.85546875" style="1" bestFit="1" customWidth="1"/>
    <col min="20" max="21" width="6.140625" style="1"/>
    <col min="22" max="22" width="10.140625" style="1" bestFit="1" customWidth="1"/>
    <col min="23" max="23" width="6.140625" style="1"/>
    <col min="24" max="24" width="15.28515625" style="1" customWidth="1"/>
    <col min="25" max="27" width="6.140625" style="1"/>
    <col min="28" max="28" width="13.7109375" style="2" customWidth="1"/>
    <col min="29" max="16384" width="6.140625" style="2"/>
  </cols>
  <sheetData>
    <row r="1" spans="1:28">
      <c r="A1" s="98"/>
      <c r="B1" s="98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8"/>
    </row>
    <row r="2" spans="1:28">
      <c r="A2" s="460" t="s">
        <v>401</v>
      </c>
      <c r="B2" s="471"/>
      <c r="C2" s="473" t="s">
        <v>505</v>
      </c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4"/>
      <c r="W2" s="99"/>
      <c r="X2" s="99"/>
      <c r="Y2" s="99"/>
      <c r="Z2" s="99"/>
      <c r="AA2" s="99"/>
      <c r="AB2" s="98"/>
    </row>
    <row r="3" spans="1:28">
      <c r="A3" s="462"/>
      <c r="B3" s="472"/>
      <c r="C3" s="475" t="s">
        <v>156</v>
      </c>
      <c r="D3" s="475"/>
      <c r="E3" s="475"/>
      <c r="F3" s="475"/>
      <c r="G3" s="475"/>
      <c r="H3" s="475"/>
      <c r="I3" s="475"/>
      <c r="J3" s="475"/>
      <c r="K3" s="475"/>
      <c r="L3" s="475"/>
      <c r="M3" s="475"/>
      <c r="N3" s="475"/>
      <c r="O3" s="475"/>
      <c r="P3" s="475"/>
      <c r="Q3" s="475"/>
      <c r="R3" s="475"/>
      <c r="S3" s="475"/>
      <c r="T3" s="475"/>
      <c r="U3" s="475"/>
      <c r="V3" s="476"/>
      <c r="W3" s="99"/>
      <c r="X3" s="99"/>
      <c r="Y3" s="99"/>
      <c r="Z3" s="99"/>
      <c r="AA3" s="99"/>
      <c r="AB3" s="98"/>
    </row>
    <row r="4" spans="1:28">
      <c r="A4" s="460" t="s">
        <v>401</v>
      </c>
      <c r="B4" s="461"/>
      <c r="C4" s="415" t="s">
        <v>159</v>
      </c>
      <c r="D4" s="416"/>
      <c r="E4" s="417"/>
      <c r="F4" s="415" t="s">
        <v>160</v>
      </c>
      <c r="G4" s="416"/>
      <c r="H4" s="416"/>
      <c r="I4" s="417"/>
      <c r="J4" s="415" t="s">
        <v>161</v>
      </c>
      <c r="K4" s="416"/>
      <c r="L4" s="416"/>
      <c r="M4" s="417"/>
      <c r="N4" s="477" t="s">
        <v>162</v>
      </c>
      <c r="O4" s="478"/>
      <c r="P4" s="478"/>
      <c r="Q4" s="479"/>
      <c r="R4" s="415" t="s">
        <v>163</v>
      </c>
      <c r="S4" s="416"/>
      <c r="T4" s="416"/>
      <c r="U4" s="417"/>
      <c r="V4" s="190" t="s">
        <v>164</v>
      </c>
      <c r="W4" s="99"/>
      <c r="X4" s="99"/>
      <c r="Y4" s="99"/>
      <c r="Z4" s="99"/>
      <c r="AA4" s="98"/>
      <c r="AB4" s="2" t="s">
        <v>506</v>
      </c>
    </row>
    <row r="5" spans="1:28">
      <c r="A5" s="462"/>
      <c r="B5" s="463"/>
      <c r="C5" s="190">
        <v>13</v>
      </c>
      <c r="D5" s="190">
        <v>20</v>
      </c>
      <c r="E5" s="190">
        <v>27</v>
      </c>
      <c r="F5" s="190">
        <v>3</v>
      </c>
      <c r="G5" s="190">
        <v>10</v>
      </c>
      <c r="H5" s="190">
        <v>17</v>
      </c>
      <c r="I5" s="190">
        <v>24</v>
      </c>
      <c r="J5" s="190">
        <v>3</v>
      </c>
      <c r="K5" s="190">
        <v>10</v>
      </c>
      <c r="L5" s="190">
        <v>17</v>
      </c>
      <c r="M5" s="190">
        <v>24</v>
      </c>
      <c r="N5" s="190">
        <v>7</v>
      </c>
      <c r="O5" s="190">
        <v>14</v>
      </c>
      <c r="P5" s="190">
        <v>21</v>
      </c>
      <c r="Q5" s="190">
        <v>28</v>
      </c>
      <c r="R5" s="190">
        <v>5</v>
      </c>
      <c r="S5" s="190">
        <v>12</v>
      </c>
      <c r="T5" s="190">
        <v>19</v>
      </c>
      <c r="U5" s="190">
        <v>26</v>
      </c>
      <c r="V5" s="190">
        <v>2</v>
      </c>
      <c r="W5" s="99"/>
      <c r="X5" s="99"/>
      <c r="Y5" s="99"/>
      <c r="Z5" s="99"/>
      <c r="AA5" s="99"/>
      <c r="AB5" s="98"/>
    </row>
    <row r="6" spans="1:28">
      <c r="A6" s="480" t="s">
        <v>507</v>
      </c>
      <c r="B6" s="100" t="s">
        <v>508</v>
      </c>
      <c r="C6" s="101" t="s">
        <v>172</v>
      </c>
      <c r="D6" s="101" t="s">
        <v>172</v>
      </c>
      <c r="E6" s="101" t="s">
        <v>172</v>
      </c>
      <c r="F6" s="101" t="s">
        <v>172</v>
      </c>
      <c r="G6" s="101" t="s">
        <v>172</v>
      </c>
      <c r="H6" s="101" t="s">
        <v>172</v>
      </c>
      <c r="I6" s="101" t="s">
        <v>172</v>
      </c>
      <c r="J6" s="101" t="s">
        <v>172</v>
      </c>
      <c r="K6" s="101" t="s">
        <v>172</v>
      </c>
      <c r="L6" s="101" t="s">
        <v>172</v>
      </c>
      <c r="M6" s="197" t="s">
        <v>177</v>
      </c>
      <c r="N6" s="197" t="s">
        <v>177</v>
      </c>
      <c r="O6" s="197" t="s">
        <v>177</v>
      </c>
      <c r="P6" s="197" t="s">
        <v>177</v>
      </c>
      <c r="Q6" s="197" t="s">
        <v>177</v>
      </c>
      <c r="R6" s="197" t="s">
        <v>177</v>
      </c>
      <c r="S6" s="197" t="s">
        <v>177</v>
      </c>
      <c r="T6" s="197" t="s">
        <v>177</v>
      </c>
      <c r="U6" s="197" t="s">
        <v>177</v>
      </c>
      <c r="V6" s="197" t="s">
        <v>177</v>
      </c>
      <c r="W6" s="99"/>
      <c r="X6" s="99"/>
      <c r="Y6" s="99"/>
      <c r="Z6" s="99"/>
      <c r="AA6" s="99"/>
      <c r="AB6" s="98"/>
    </row>
    <row r="7" spans="1:28">
      <c r="A7" s="480"/>
      <c r="B7" s="100" t="s">
        <v>509</v>
      </c>
      <c r="C7" s="102" t="s">
        <v>180</v>
      </c>
      <c r="D7" s="102" t="s">
        <v>180</v>
      </c>
      <c r="E7" s="102" t="s">
        <v>180</v>
      </c>
      <c r="F7" s="102" t="s">
        <v>180</v>
      </c>
      <c r="G7" s="102" t="s">
        <v>180</v>
      </c>
      <c r="H7" s="102" t="s">
        <v>180</v>
      </c>
      <c r="I7" s="102" t="s">
        <v>180</v>
      </c>
      <c r="J7" s="102" t="s">
        <v>180</v>
      </c>
      <c r="K7" s="102" t="s">
        <v>180</v>
      </c>
      <c r="L7" s="102" t="s">
        <v>180</v>
      </c>
      <c r="M7" s="198" t="s">
        <v>176</v>
      </c>
      <c r="N7" s="198" t="s">
        <v>176</v>
      </c>
      <c r="O7" s="198" t="s">
        <v>176</v>
      </c>
      <c r="P7" s="198" t="s">
        <v>176</v>
      </c>
      <c r="Q7" s="198" t="s">
        <v>176</v>
      </c>
      <c r="R7" s="198" t="s">
        <v>176</v>
      </c>
      <c r="S7" s="198" t="s">
        <v>176</v>
      </c>
      <c r="T7" s="198" t="s">
        <v>176</v>
      </c>
      <c r="U7" s="198" t="s">
        <v>176</v>
      </c>
      <c r="V7" s="198" t="s">
        <v>176</v>
      </c>
      <c r="W7" s="99"/>
      <c r="X7" s="103" t="s">
        <v>510</v>
      </c>
      <c r="Y7" s="103"/>
      <c r="Z7" s="103"/>
      <c r="AA7" s="103"/>
      <c r="AB7" s="98"/>
    </row>
    <row r="8" spans="1:28" ht="15">
      <c r="A8" s="480"/>
      <c r="B8" s="100" t="s">
        <v>511</v>
      </c>
      <c r="C8" s="323" t="s">
        <v>179</v>
      </c>
      <c r="D8" s="323" t="s">
        <v>179</v>
      </c>
      <c r="E8" s="323" t="s">
        <v>179</v>
      </c>
      <c r="F8" s="323" t="s">
        <v>179</v>
      </c>
      <c r="G8" s="323" t="s">
        <v>179</v>
      </c>
      <c r="H8" s="323" t="s">
        <v>179</v>
      </c>
      <c r="I8" s="323" t="s">
        <v>179</v>
      </c>
      <c r="J8" s="323" t="s">
        <v>179</v>
      </c>
      <c r="K8" s="323" t="s">
        <v>179</v>
      </c>
      <c r="L8" s="323" t="s">
        <v>179</v>
      </c>
      <c r="M8" s="104" t="s">
        <v>175</v>
      </c>
      <c r="N8" s="104" t="s">
        <v>175</v>
      </c>
      <c r="O8" s="104" t="s">
        <v>175</v>
      </c>
      <c r="P8" s="104" t="s">
        <v>175</v>
      </c>
      <c r="Q8" s="104" t="s">
        <v>175</v>
      </c>
      <c r="R8" s="104" t="s">
        <v>175</v>
      </c>
      <c r="S8" s="104" t="s">
        <v>175</v>
      </c>
      <c r="T8" s="104" t="s">
        <v>175</v>
      </c>
      <c r="U8" s="104" t="s">
        <v>175</v>
      </c>
      <c r="V8" s="104" t="s">
        <v>175</v>
      </c>
      <c r="W8" s="99"/>
      <c r="X8" s="99"/>
      <c r="Y8" s="99"/>
      <c r="Z8" s="99"/>
      <c r="AA8" s="99"/>
      <c r="AB8" s="98"/>
    </row>
    <row r="9" spans="1:28">
      <c r="A9" s="480"/>
      <c r="B9" s="100" t="s">
        <v>512</v>
      </c>
      <c r="C9" s="105" t="s">
        <v>178</v>
      </c>
      <c r="D9" s="105" t="s">
        <v>178</v>
      </c>
      <c r="E9" s="105" t="s">
        <v>178</v>
      </c>
      <c r="F9" s="105" t="s">
        <v>178</v>
      </c>
      <c r="G9" s="105" t="s">
        <v>178</v>
      </c>
      <c r="H9" s="105" t="s">
        <v>178</v>
      </c>
      <c r="I9" s="105" t="s">
        <v>178</v>
      </c>
      <c r="J9" s="105" t="s">
        <v>178</v>
      </c>
      <c r="K9" s="105" t="s">
        <v>178</v>
      </c>
      <c r="L9" s="105" t="s">
        <v>178</v>
      </c>
      <c r="M9" s="196" t="s">
        <v>174</v>
      </c>
      <c r="N9" s="196" t="s">
        <v>174</v>
      </c>
      <c r="O9" s="196" t="s">
        <v>174</v>
      </c>
      <c r="P9" s="196" t="s">
        <v>174</v>
      </c>
      <c r="Q9" s="196" t="s">
        <v>174</v>
      </c>
      <c r="R9" s="196" t="s">
        <v>174</v>
      </c>
      <c r="S9" s="196" t="s">
        <v>174</v>
      </c>
      <c r="T9" s="196" t="s">
        <v>174</v>
      </c>
      <c r="U9" s="196" t="s">
        <v>174</v>
      </c>
      <c r="V9" s="196" t="s">
        <v>174</v>
      </c>
      <c r="W9" s="99"/>
      <c r="X9" s="99"/>
      <c r="Y9" s="99"/>
      <c r="Z9" s="99"/>
      <c r="AA9" s="99"/>
      <c r="AB9" s="98"/>
    </row>
    <row r="10" spans="1:28" ht="15" customHeight="1">
      <c r="A10" s="98"/>
      <c r="B10" s="98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8"/>
    </row>
    <row r="11" spans="1:28" ht="15" customHeight="1">
      <c r="A11" s="106"/>
      <c r="B11" s="106"/>
      <c r="C11" s="481" t="s">
        <v>159</v>
      </c>
      <c r="D11" s="481"/>
      <c r="E11" s="481"/>
      <c r="F11" s="482"/>
      <c r="G11" s="481" t="s">
        <v>160</v>
      </c>
      <c r="H11" s="481"/>
      <c r="I11" s="481"/>
      <c r="J11" s="481"/>
      <c r="K11" s="481"/>
      <c r="L11" s="481"/>
      <c r="M11" s="481" t="s">
        <v>161</v>
      </c>
      <c r="N11" s="481"/>
      <c r="O11" s="481"/>
      <c r="P11" s="481"/>
      <c r="Q11" s="481"/>
      <c r="R11" s="481" t="s">
        <v>162</v>
      </c>
      <c r="S11" s="481"/>
      <c r="T11" s="481"/>
      <c r="U11" s="481"/>
      <c r="V11" s="481"/>
      <c r="W11" s="481"/>
      <c r="X11" s="481" t="s">
        <v>163</v>
      </c>
      <c r="Y11" s="481"/>
      <c r="Z11" s="481"/>
      <c r="AA11" s="481"/>
      <c r="AB11" s="189" t="s">
        <v>164</v>
      </c>
    </row>
    <row r="12" spans="1:28" ht="14.45" customHeight="1">
      <c r="A12" s="106"/>
      <c r="B12" s="106"/>
      <c r="C12" s="467" t="s">
        <v>513</v>
      </c>
      <c r="D12" s="467"/>
      <c r="E12" s="468" t="s">
        <v>514</v>
      </c>
      <c r="F12" s="469"/>
      <c r="G12" s="441" t="s">
        <v>515</v>
      </c>
      <c r="H12" s="441"/>
      <c r="I12" s="470" t="s">
        <v>516</v>
      </c>
      <c r="J12" s="470"/>
      <c r="K12" s="440" t="s">
        <v>517</v>
      </c>
      <c r="L12" s="440"/>
      <c r="M12" s="441" t="s">
        <v>518</v>
      </c>
      <c r="N12" s="442"/>
      <c r="O12" s="200" t="s">
        <v>519</v>
      </c>
      <c r="P12" s="440" t="s">
        <v>520</v>
      </c>
      <c r="Q12" s="440"/>
      <c r="R12" s="464" t="s">
        <v>521</v>
      </c>
      <c r="S12" s="465"/>
      <c r="T12" s="443" t="s">
        <v>522</v>
      </c>
      <c r="U12" s="444"/>
      <c r="V12" s="445" t="s">
        <v>523</v>
      </c>
      <c r="W12" s="446"/>
      <c r="X12" s="454" t="s">
        <v>516</v>
      </c>
      <c r="Y12" s="455"/>
      <c r="Z12" s="456" t="s">
        <v>522</v>
      </c>
      <c r="AA12" s="457"/>
      <c r="AB12" s="201" t="s">
        <v>524</v>
      </c>
    </row>
    <row r="13" spans="1:28" ht="15" customHeight="1">
      <c r="A13" s="483" t="s">
        <v>525</v>
      </c>
      <c r="B13" s="107" t="s">
        <v>526</v>
      </c>
      <c r="C13" s="449" t="s">
        <v>187</v>
      </c>
      <c r="D13" s="449"/>
      <c r="E13" s="449" t="s">
        <v>425</v>
      </c>
      <c r="F13" s="449"/>
      <c r="G13" s="451" t="s">
        <v>185</v>
      </c>
      <c r="H13" s="451"/>
      <c r="I13" s="451" t="s">
        <v>436</v>
      </c>
      <c r="J13" s="451"/>
      <c r="K13" s="459" t="s">
        <v>186</v>
      </c>
      <c r="L13" s="459"/>
      <c r="M13" s="459" t="s">
        <v>431</v>
      </c>
      <c r="N13" s="459"/>
      <c r="O13" s="486" t="s">
        <v>527</v>
      </c>
      <c r="P13" s="466" t="s">
        <v>181</v>
      </c>
      <c r="Q13" s="466"/>
      <c r="R13" s="466" t="s">
        <v>410</v>
      </c>
      <c r="S13" s="466"/>
      <c r="T13" s="458" t="s">
        <v>188</v>
      </c>
      <c r="U13" s="458"/>
      <c r="V13" s="458" t="s">
        <v>420</v>
      </c>
      <c r="W13" s="458"/>
      <c r="X13" s="452" t="s">
        <v>189</v>
      </c>
      <c r="Y13" s="452"/>
      <c r="Z13" s="452" t="s">
        <v>415</v>
      </c>
      <c r="AA13" s="452"/>
      <c r="AB13" s="488" t="s">
        <v>527</v>
      </c>
    </row>
    <row r="14" spans="1:28">
      <c r="A14" s="484"/>
      <c r="B14" s="108" t="s">
        <v>528</v>
      </c>
      <c r="C14" s="449" t="s">
        <v>425</v>
      </c>
      <c r="D14" s="449"/>
      <c r="E14" s="449" t="s">
        <v>187</v>
      </c>
      <c r="F14" s="449"/>
      <c r="G14" s="450" t="s">
        <v>436</v>
      </c>
      <c r="H14" s="450"/>
      <c r="I14" s="450" t="s">
        <v>185</v>
      </c>
      <c r="J14" s="450"/>
      <c r="K14" s="447" t="s">
        <v>431</v>
      </c>
      <c r="L14" s="447"/>
      <c r="M14" s="447" t="s">
        <v>186</v>
      </c>
      <c r="N14" s="447"/>
      <c r="O14" s="487"/>
      <c r="P14" s="448" t="s">
        <v>410</v>
      </c>
      <c r="Q14" s="448"/>
      <c r="R14" s="448" t="s">
        <v>181</v>
      </c>
      <c r="S14" s="448"/>
      <c r="T14" s="453" t="s">
        <v>420</v>
      </c>
      <c r="U14" s="453"/>
      <c r="V14" s="453" t="s">
        <v>188</v>
      </c>
      <c r="W14" s="453"/>
      <c r="X14" s="452" t="s">
        <v>415</v>
      </c>
      <c r="Y14" s="452"/>
      <c r="Z14" s="452" t="s">
        <v>189</v>
      </c>
      <c r="AA14" s="452"/>
      <c r="AB14" s="488"/>
    </row>
    <row r="15" spans="1:28" ht="26.25" customHeight="1">
      <c r="A15" s="484"/>
      <c r="B15" s="109" t="s">
        <v>529</v>
      </c>
      <c r="C15" s="447" t="s">
        <v>431</v>
      </c>
      <c r="D15" s="447"/>
      <c r="E15" s="447" t="s">
        <v>431</v>
      </c>
      <c r="F15" s="447"/>
      <c r="G15" s="449" t="s">
        <v>425</v>
      </c>
      <c r="H15" s="449"/>
      <c r="I15" s="449" t="s">
        <v>425</v>
      </c>
      <c r="J15" s="449"/>
      <c r="K15" s="450" t="s">
        <v>436</v>
      </c>
      <c r="L15" s="450"/>
      <c r="M15" s="450" t="s">
        <v>436</v>
      </c>
      <c r="N15" s="450"/>
      <c r="O15" s="487"/>
      <c r="P15" s="452" t="s">
        <v>415</v>
      </c>
      <c r="Q15" s="452"/>
      <c r="R15" s="452" t="s">
        <v>415</v>
      </c>
      <c r="S15" s="452"/>
      <c r="T15" s="448" t="s">
        <v>410</v>
      </c>
      <c r="U15" s="448"/>
      <c r="V15" s="448" t="s">
        <v>410</v>
      </c>
      <c r="W15" s="448"/>
      <c r="X15" s="453" t="s">
        <v>420</v>
      </c>
      <c r="Y15" s="453"/>
      <c r="Z15" s="453" t="s">
        <v>420</v>
      </c>
      <c r="AA15" s="453"/>
      <c r="AB15" s="488"/>
    </row>
    <row r="16" spans="1:28" ht="26.1">
      <c r="A16" s="484"/>
      <c r="B16" s="110" t="s">
        <v>530</v>
      </c>
      <c r="C16" s="447" t="s">
        <v>531</v>
      </c>
      <c r="D16" s="447"/>
      <c r="E16" s="447"/>
      <c r="F16" s="447"/>
      <c r="G16" s="449" t="s">
        <v>532</v>
      </c>
      <c r="H16" s="449"/>
      <c r="I16" s="449"/>
      <c r="J16" s="449"/>
      <c r="K16" s="450" t="s">
        <v>533</v>
      </c>
      <c r="L16" s="450"/>
      <c r="M16" s="450"/>
      <c r="N16" s="450"/>
      <c r="O16" s="487"/>
      <c r="P16" s="452" t="s">
        <v>534</v>
      </c>
      <c r="Q16" s="452"/>
      <c r="R16" s="452"/>
      <c r="S16" s="452"/>
      <c r="T16" s="448" t="s">
        <v>535</v>
      </c>
      <c r="U16" s="448"/>
      <c r="V16" s="448"/>
      <c r="W16" s="448"/>
      <c r="X16" s="453" t="s">
        <v>536</v>
      </c>
      <c r="Y16" s="453"/>
      <c r="Z16" s="453"/>
      <c r="AA16" s="453"/>
      <c r="AB16" s="488"/>
    </row>
    <row r="17" spans="1:28">
      <c r="A17" s="484"/>
      <c r="B17" s="110" t="s">
        <v>537</v>
      </c>
      <c r="C17" s="447" t="s">
        <v>186</v>
      </c>
      <c r="D17" s="447"/>
      <c r="E17" s="447" t="s">
        <v>186</v>
      </c>
      <c r="F17" s="447"/>
      <c r="G17" s="449" t="s">
        <v>187</v>
      </c>
      <c r="H17" s="449"/>
      <c r="I17" s="449" t="s">
        <v>187</v>
      </c>
      <c r="J17" s="449"/>
      <c r="K17" s="450" t="s">
        <v>185</v>
      </c>
      <c r="L17" s="450"/>
      <c r="M17" s="450" t="s">
        <v>185</v>
      </c>
      <c r="N17" s="450"/>
      <c r="O17" s="487"/>
      <c r="P17" s="452" t="s">
        <v>189</v>
      </c>
      <c r="Q17" s="452"/>
      <c r="R17" s="452" t="s">
        <v>189</v>
      </c>
      <c r="S17" s="452"/>
      <c r="T17" s="448" t="s">
        <v>181</v>
      </c>
      <c r="U17" s="448"/>
      <c r="V17" s="448" t="s">
        <v>181</v>
      </c>
      <c r="W17" s="448"/>
      <c r="X17" s="453" t="s">
        <v>188</v>
      </c>
      <c r="Y17" s="453"/>
      <c r="Z17" s="453" t="s">
        <v>188</v>
      </c>
      <c r="AA17" s="453"/>
      <c r="AB17" s="488"/>
    </row>
    <row r="18" spans="1:28" ht="39" customHeight="1">
      <c r="A18" s="484"/>
      <c r="B18" s="110" t="s">
        <v>538</v>
      </c>
      <c r="C18" s="450" t="s">
        <v>185</v>
      </c>
      <c r="D18" s="450"/>
      <c r="E18" s="450" t="s">
        <v>436</v>
      </c>
      <c r="F18" s="450"/>
      <c r="G18" s="447" t="s">
        <v>186</v>
      </c>
      <c r="H18" s="447"/>
      <c r="I18" s="447" t="s">
        <v>431</v>
      </c>
      <c r="J18" s="447"/>
      <c r="K18" s="449" t="s">
        <v>187</v>
      </c>
      <c r="L18" s="449"/>
      <c r="M18" s="449" t="s">
        <v>425</v>
      </c>
      <c r="N18" s="449"/>
      <c r="O18" s="487"/>
      <c r="P18" s="453" t="s">
        <v>188</v>
      </c>
      <c r="Q18" s="453"/>
      <c r="R18" s="453" t="s">
        <v>420</v>
      </c>
      <c r="S18" s="453"/>
      <c r="T18" s="452" t="s">
        <v>189</v>
      </c>
      <c r="U18" s="452"/>
      <c r="V18" s="452" t="s">
        <v>415</v>
      </c>
      <c r="W18" s="452"/>
      <c r="X18" s="448" t="s">
        <v>181</v>
      </c>
      <c r="Y18" s="448"/>
      <c r="Z18" s="448" t="s">
        <v>410</v>
      </c>
      <c r="AA18" s="448"/>
      <c r="AB18" s="488"/>
    </row>
    <row r="19" spans="1:28" ht="33.75" customHeight="1">
      <c r="A19" s="485"/>
      <c r="B19" s="110" t="s">
        <v>539</v>
      </c>
      <c r="C19" s="450" t="s">
        <v>436</v>
      </c>
      <c r="D19" s="450"/>
      <c r="E19" s="450" t="s">
        <v>185</v>
      </c>
      <c r="F19" s="450"/>
      <c r="G19" s="447" t="s">
        <v>431</v>
      </c>
      <c r="H19" s="447"/>
      <c r="I19" s="447" t="s">
        <v>186</v>
      </c>
      <c r="J19" s="447"/>
      <c r="K19" s="449" t="s">
        <v>425</v>
      </c>
      <c r="L19" s="449"/>
      <c r="M19" s="449" t="s">
        <v>187</v>
      </c>
      <c r="N19" s="449"/>
      <c r="O19" s="487"/>
      <c r="P19" s="453" t="s">
        <v>420</v>
      </c>
      <c r="Q19" s="453"/>
      <c r="R19" s="453" t="s">
        <v>188</v>
      </c>
      <c r="S19" s="453"/>
      <c r="T19" s="452" t="s">
        <v>415</v>
      </c>
      <c r="U19" s="452"/>
      <c r="V19" s="452" t="s">
        <v>189</v>
      </c>
      <c r="W19" s="452"/>
      <c r="X19" s="448" t="s">
        <v>410</v>
      </c>
      <c r="Y19" s="448"/>
      <c r="Z19" s="448" t="s">
        <v>181</v>
      </c>
      <c r="AA19" s="448"/>
      <c r="AB19" s="489"/>
    </row>
    <row r="20" spans="1:28">
      <c r="A20" s="98"/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111"/>
    </row>
    <row r="21" spans="1:28">
      <c r="A21" s="98"/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8"/>
    </row>
    <row r="22" spans="1:28">
      <c r="N22" s="439"/>
      <c r="O22" s="439"/>
    </row>
    <row r="23" spans="1:28" ht="15" customHeight="1"/>
    <row r="24" spans="1:28" ht="15" customHeight="1"/>
    <row r="25" spans="1:28" ht="24" customHeight="1"/>
    <row r="26" spans="1:28" ht="24" customHeight="1"/>
    <row r="27" spans="1:28" ht="24" customHeight="1"/>
  </sheetData>
  <mergeCells count="109">
    <mergeCell ref="X19:Y19"/>
    <mergeCell ref="Z19:AA19"/>
    <mergeCell ref="C19:D19"/>
    <mergeCell ref="E19:F19"/>
    <mergeCell ref="G19:H19"/>
    <mergeCell ref="I19:J19"/>
    <mergeCell ref="K19:L19"/>
    <mergeCell ref="M19:N19"/>
    <mergeCell ref="P19:Q19"/>
    <mergeCell ref="R19:S19"/>
    <mergeCell ref="T19:U19"/>
    <mergeCell ref="C11:F11"/>
    <mergeCell ref="G11:L11"/>
    <mergeCell ref="M11:Q11"/>
    <mergeCell ref="R11:W11"/>
    <mergeCell ref="X11:AA11"/>
    <mergeCell ref="A13:A19"/>
    <mergeCell ref="O13:O19"/>
    <mergeCell ref="AB13:AB19"/>
    <mergeCell ref="C15:D15"/>
    <mergeCell ref="E15:F15"/>
    <mergeCell ref="G15:H15"/>
    <mergeCell ref="I15:J15"/>
    <mergeCell ref="K15:L15"/>
    <mergeCell ref="M15:N15"/>
    <mergeCell ref="P15:Q15"/>
    <mergeCell ref="R15:S15"/>
    <mergeCell ref="T15:U15"/>
    <mergeCell ref="V15:W15"/>
    <mergeCell ref="X15:Y15"/>
    <mergeCell ref="Z15:AA15"/>
    <mergeCell ref="C16:F16"/>
    <mergeCell ref="G16:J16"/>
    <mergeCell ref="K16:N16"/>
    <mergeCell ref="P16:S16"/>
    <mergeCell ref="A2:B3"/>
    <mergeCell ref="C2:V2"/>
    <mergeCell ref="C3:V3"/>
    <mergeCell ref="N4:Q4"/>
    <mergeCell ref="R4:U4"/>
    <mergeCell ref="C4:E4"/>
    <mergeCell ref="F4:I4"/>
    <mergeCell ref="J4:M4"/>
    <mergeCell ref="A6:A9"/>
    <mergeCell ref="X12:Y12"/>
    <mergeCell ref="Z12:AA12"/>
    <mergeCell ref="T13:U13"/>
    <mergeCell ref="X16:AA16"/>
    <mergeCell ref="K13:L13"/>
    <mergeCell ref="M13:N13"/>
    <mergeCell ref="K17:L17"/>
    <mergeCell ref="C18:D18"/>
    <mergeCell ref="A4:B5"/>
    <mergeCell ref="V13:W13"/>
    <mergeCell ref="R12:S12"/>
    <mergeCell ref="T14:U14"/>
    <mergeCell ref="V14:W14"/>
    <mergeCell ref="P13:Q13"/>
    <mergeCell ref="R13:S13"/>
    <mergeCell ref="E18:F18"/>
    <mergeCell ref="G18:H18"/>
    <mergeCell ref="I18:J18"/>
    <mergeCell ref="K18:L18"/>
    <mergeCell ref="C12:D12"/>
    <mergeCell ref="E12:F12"/>
    <mergeCell ref="G12:H12"/>
    <mergeCell ref="I12:J12"/>
    <mergeCell ref="C13:D13"/>
    <mergeCell ref="X13:Y13"/>
    <mergeCell ref="Z13:AA13"/>
    <mergeCell ref="X14:Y14"/>
    <mergeCell ref="Z14:AA14"/>
    <mergeCell ref="M14:N14"/>
    <mergeCell ref="V18:W18"/>
    <mergeCell ref="T17:U17"/>
    <mergeCell ref="M17:N17"/>
    <mergeCell ref="P17:Q17"/>
    <mergeCell ref="R17:S17"/>
    <mergeCell ref="M18:N18"/>
    <mergeCell ref="T16:W16"/>
    <mergeCell ref="X18:Y18"/>
    <mergeCell ref="Z17:AA17"/>
    <mergeCell ref="P18:Q18"/>
    <mergeCell ref="R18:S18"/>
    <mergeCell ref="T18:U18"/>
    <mergeCell ref="V17:W17"/>
    <mergeCell ref="X17:Y17"/>
    <mergeCell ref="Z18:AA18"/>
    <mergeCell ref="N22:O22"/>
    <mergeCell ref="K12:L12"/>
    <mergeCell ref="M12:N12"/>
    <mergeCell ref="P12:Q12"/>
    <mergeCell ref="T12:U12"/>
    <mergeCell ref="V12:W12"/>
    <mergeCell ref="C17:D17"/>
    <mergeCell ref="E17:F17"/>
    <mergeCell ref="P14:Q14"/>
    <mergeCell ref="R14:S14"/>
    <mergeCell ref="K14:L14"/>
    <mergeCell ref="G17:H17"/>
    <mergeCell ref="I17:J17"/>
    <mergeCell ref="G14:H14"/>
    <mergeCell ref="I14:J14"/>
    <mergeCell ref="G13:H13"/>
    <mergeCell ref="I13:J13"/>
    <mergeCell ref="E13:F13"/>
    <mergeCell ref="C14:D14"/>
    <mergeCell ref="E14:F14"/>
    <mergeCell ref="V19:W19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4965-6F93-48F5-86FE-FC090DFBC36B}">
  <sheetPr>
    <tabColor rgb="FF92D050"/>
  </sheetPr>
  <dimension ref="B1:K29"/>
  <sheetViews>
    <sheetView topLeftCell="A4" zoomScale="70" zoomScaleNormal="70" workbookViewId="0">
      <selection activeCell="P6" sqref="P6"/>
    </sheetView>
  </sheetViews>
  <sheetFormatPr defaultColWidth="11.42578125" defaultRowHeight="14.45"/>
  <cols>
    <col min="4" max="4" width="20.5703125" customWidth="1"/>
    <col min="5" max="5" width="17.85546875" customWidth="1"/>
    <col min="8" max="8" width="26.7109375" customWidth="1"/>
    <col min="9" max="9" width="25" customWidth="1"/>
    <col min="10" max="10" width="13.42578125" customWidth="1"/>
    <col min="11" max="11" width="15.140625" customWidth="1"/>
  </cols>
  <sheetData>
    <row r="1" spans="2:11" ht="26.1">
      <c r="B1" s="524" t="s">
        <v>540</v>
      </c>
      <c r="C1" s="524"/>
      <c r="D1" s="524"/>
      <c r="E1" s="524"/>
      <c r="F1" s="524"/>
      <c r="G1" s="524"/>
      <c r="H1" s="524"/>
      <c r="I1" s="524"/>
      <c r="J1" s="524"/>
      <c r="K1" s="524"/>
    </row>
    <row r="2" spans="2:11" ht="15.6">
      <c r="B2" s="525" t="s">
        <v>156</v>
      </c>
      <c r="C2" s="525"/>
      <c r="D2" s="525"/>
      <c r="E2" s="525"/>
      <c r="F2" s="525"/>
      <c r="G2" s="525"/>
      <c r="H2" s="525"/>
      <c r="I2" s="525"/>
      <c r="J2" s="525"/>
      <c r="K2" s="525"/>
    </row>
    <row r="3" spans="2:11">
      <c r="B3" s="495"/>
      <c r="C3" s="495"/>
      <c r="D3" s="496" t="s">
        <v>541</v>
      </c>
      <c r="E3" s="496"/>
      <c r="F3" s="497" t="s">
        <v>541</v>
      </c>
      <c r="G3" s="497"/>
      <c r="H3" s="497"/>
      <c r="I3" s="526" t="s">
        <v>541</v>
      </c>
      <c r="J3" s="526"/>
      <c r="K3" s="526"/>
    </row>
    <row r="4" spans="2:11" ht="26.1">
      <c r="B4" s="495"/>
      <c r="C4" s="495"/>
      <c r="D4" s="28" t="s">
        <v>542</v>
      </c>
      <c r="E4" s="28" t="s">
        <v>543</v>
      </c>
      <c r="F4" s="497" t="s">
        <v>544</v>
      </c>
      <c r="G4" s="497"/>
      <c r="H4" s="497"/>
      <c r="I4" s="526" t="s">
        <v>545</v>
      </c>
      <c r="J4" s="526"/>
      <c r="K4" s="526"/>
    </row>
    <row r="5" spans="2:11" ht="65.099999999999994">
      <c r="B5" s="495"/>
      <c r="C5" s="495"/>
      <c r="D5" s="29" t="s">
        <v>546</v>
      </c>
      <c r="E5" s="29" t="s">
        <v>547</v>
      </c>
      <c r="F5" s="29" t="s">
        <v>548</v>
      </c>
      <c r="G5" s="29" t="s">
        <v>549</v>
      </c>
      <c r="H5" s="29" t="s">
        <v>550</v>
      </c>
      <c r="I5" s="29" t="s">
        <v>551</v>
      </c>
      <c r="J5" s="95" t="s">
        <v>552</v>
      </c>
      <c r="K5" s="95" t="s">
        <v>552</v>
      </c>
    </row>
    <row r="6" spans="2:11" ht="65.099999999999994">
      <c r="B6" s="503" t="s">
        <v>203</v>
      </c>
      <c r="C6" s="30" t="s">
        <v>553</v>
      </c>
      <c r="D6" s="191" t="s">
        <v>554</v>
      </c>
      <c r="E6" s="23" t="s">
        <v>555</v>
      </c>
      <c r="F6" s="23" t="s">
        <v>556</v>
      </c>
      <c r="G6" s="23" t="s">
        <v>557</v>
      </c>
      <c r="H6" s="96"/>
      <c r="I6" s="322" t="s">
        <v>558</v>
      </c>
      <c r="J6" s="96"/>
      <c r="K6" s="96"/>
    </row>
    <row r="7" spans="2:11" ht="39">
      <c r="B7" s="504"/>
      <c r="C7" s="30" t="s">
        <v>559</v>
      </c>
      <c r="D7" s="23" t="s">
        <v>560</v>
      </c>
      <c r="E7" s="23" t="s">
        <v>561</v>
      </c>
      <c r="F7" s="505" t="s">
        <v>562</v>
      </c>
      <c r="G7" s="505"/>
      <c r="H7" s="505"/>
      <c r="I7" s="505" t="s">
        <v>563</v>
      </c>
      <c r="J7" s="505"/>
      <c r="K7" s="505"/>
    </row>
    <row r="8" spans="2:11" ht="51.95">
      <c r="B8" s="503" t="s">
        <v>381</v>
      </c>
      <c r="C8" s="30" t="s">
        <v>553</v>
      </c>
      <c r="D8" s="191" t="s">
        <v>564</v>
      </c>
      <c r="E8" s="23" t="s">
        <v>555</v>
      </c>
      <c r="F8" s="23" t="s">
        <v>556</v>
      </c>
      <c r="G8" s="23" t="s">
        <v>557</v>
      </c>
      <c r="H8" s="203"/>
      <c r="I8" s="521" t="s">
        <v>565</v>
      </c>
      <c r="J8" s="23" t="s">
        <v>566</v>
      </c>
      <c r="K8" s="23" t="s">
        <v>567</v>
      </c>
    </row>
    <row r="9" spans="2:11" ht="51.95">
      <c r="B9" s="504"/>
      <c r="C9" s="30" t="s">
        <v>559</v>
      </c>
      <c r="D9" s="23" t="s">
        <v>560</v>
      </c>
      <c r="E9" s="23" t="s">
        <v>568</v>
      </c>
      <c r="F9" s="523" t="s">
        <v>569</v>
      </c>
      <c r="G9" s="523"/>
      <c r="H9" s="523"/>
      <c r="I9" s="522"/>
      <c r="J9" s="254" t="s">
        <v>570</v>
      </c>
      <c r="K9" s="255" t="s">
        <v>571</v>
      </c>
    </row>
    <row r="10" spans="2:11" ht="39">
      <c r="B10" s="503" t="s">
        <v>572</v>
      </c>
      <c r="C10" s="30" t="s">
        <v>553</v>
      </c>
      <c r="D10" s="506" t="s">
        <v>564</v>
      </c>
      <c r="E10" s="506" t="s">
        <v>573</v>
      </c>
      <c r="F10" s="37"/>
      <c r="G10" s="37"/>
      <c r="H10" s="97" t="s">
        <v>574</v>
      </c>
      <c r="I10" s="23" t="s">
        <v>575</v>
      </c>
      <c r="J10" s="23" t="s">
        <v>566</v>
      </c>
      <c r="K10" s="23" t="s">
        <v>567</v>
      </c>
    </row>
    <row r="11" spans="2:11" ht="39">
      <c r="B11" s="504"/>
      <c r="C11" s="30" t="s">
        <v>559</v>
      </c>
      <c r="D11" s="507"/>
      <c r="E11" s="507"/>
      <c r="F11" s="37"/>
      <c r="G11" s="37"/>
      <c r="H11" s="97" t="s">
        <v>576</v>
      </c>
      <c r="I11" s="505" t="s">
        <v>563</v>
      </c>
      <c r="J11" s="505"/>
      <c r="K11" s="505"/>
    </row>
    <row r="12" spans="2:11" ht="51.95">
      <c r="B12" s="30" t="s">
        <v>577</v>
      </c>
      <c r="C12" s="30" t="s">
        <v>553</v>
      </c>
      <c r="D12" s="23" t="s">
        <v>564</v>
      </c>
      <c r="E12" s="23" t="s">
        <v>555</v>
      </c>
      <c r="F12" s="23" t="s">
        <v>556</v>
      </c>
      <c r="G12" s="23" t="s">
        <v>557</v>
      </c>
      <c r="H12" s="39"/>
      <c r="I12" s="23" t="s">
        <v>575</v>
      </c>
      <c r="J12" s="23" t="s">
        <v>566</v>
      </c>
      <c r="K12" s="23" t="s">
        <v>567</v>
      </c>
    </row>
    <row r="13" spans="2:11" ht="22.5" customHeight="1">
      <c r="B13" s="30" t="s">
        <v>577</v>
      </c>
      <c r="C13" s="30" t="s">
        <v>559</v>
      </c>
      <c r="D13" s="508" t="s">
        <v>578</v>
      </c>
      <c r="E13" s="508"/>
      <c r="F13" s="508"/>
      <c r="G13" s="508"/>
      <c r="H13" s="508"/>
      <c r="I13" s="508"/>
      <c r="J13" s="508"/>
      <c r="K13" s="508"/>
    </row>
    <row r="18" spans="2:8" ht="26.45" thickBot="1">
      <c r="B18" s="502" t="s">
        <v>579</v>
      </c>
      <c r="C18" s="502"/>
      <c r="D18" s="502"/>
      <c r="E18" s="502"/>
      <c r="F18" s="502"/>
      <c r="G18" s="502"/>
    </row>
    <row r="19" spans="2:8" ht="15.95" thickBot="1">
      <c r="B19" s="512" t="s">
        <v>156</v>
      </c>
      <c r="C19" s="513"/>
      <c r="D19" s="513"/>
      <c r="E19" s="513"/>
      <c r="F19" s="513"/>
      <c r="G19" s="513"/>
      <c r="H19" s="514"/>
    </row>
    <row r="20" spans="2:8" ht="15" thickBot="1">
      <c r="B20" s="515" t="s">
        <v>158</v>
      </c>
      <c r="C20" s="516"/>
      <c r="D20" s="517" t="s">
        <v>580</v>
      </c>
      <c r="E20" s="518"/>
      <c r="F20" s="518"/>
      <c r="G20" s="518"/>
      <c r="H20" s="519"/>
    </row>
    <row r="21" spans="2:8">
      <c r="B21" s="24"/>
      <c r="C21" s="40"/>
      <c r="D21" s="41" t="s">
        <v>375</v>
      </c>
      <c r="E21" s="520" t="s">
        <v>547</v>
      </c>
      <c r="F21" s="520"/>
      <c r="G21" s="192" t="s">
        <v>374</v>
      </c>
      <c r="H21" s="194"/>
    </row>
    <row r="22" spans="2:8" ht="26.1">
      <c r="B22" s="490" t="s">
        <v>203</v>
      </c>
      <c r="C22" s="42" t="s">
        <v>553</v>
      </c>
      <c r="D22" s="25" t="s">
        <v>581</v>
      </c>
      <c r="E22" s="23" t="s">
        <v>582</v>
      </c>
      <c r="F22" s="23" t="s">
        <v>583</v>
      </c>
      <c r="G22" s="23" t="s">
        <v>584</v>
      </c>
      <c r="H22" s="179"/>
    </row>
    <row r="23" spans="2:8">
      <c r="B23" s="498"/>
      <c r="C23" s="42" t="s">
        <v>559</v>
      </c>
      <c r="D23" s="499" t="s">
        <v>585</v>
      </c>
      <c r="E23" s="500"/>
      <c r="F23" s="500"/>
      <c r="G23" s="500"/>
      <c r="H23" s="501"/>
    </row>
    <row r="24" spans="2:8" ht="26.1">
      <c r="B24" s="490" t="s">
        <v>381</v>
      </c>
      <c r="C24" s="42" t="s">
        <v>553</v>
      </c>
      <c r="D24" s="25" t="s">
        <v>581</v>
      </c>
      <c r="E24" s="23" t="s">
        <v>582</v>
      </c>
      <c r="F24" s="23" t="s">
        <v>583</v>
      </c>
      <c r="G24" s="23" t="s">
        <v>584</v>
      </c>
      <c r="H24" s="179"/>
    </row>
    <row r="25" spans="2:8">
      <c r="B25" s="498"/>
      <c r="C25" s="42" t="s">
        <v>586</v>
      </c>
      <c r="D25" s="509" t="s">
        <v>587</v>
      </c>
      <c r="E25" s="510"/>
      <c r="F25" s="510"/>
      <c r="G25" s="510"/>
      <c r="H25" s="511"/>
    </row>
    <row r="26" spans="2:8" ht="26.1">
      <c r="B26" s="490" t="s">
        <v>572</v>
      </c>
      <c r="C26" s="42" t="s">
        <v>553</v>
      </c>
      <c r="D26" s="25" t="s">
        <v>588</v>
      </c>
      <c r="E26" s="23" t="s">
        <v>582</v>
      </c>
      <c r="F26" s="23" t="s">
        <v>583</v>
      </c>
      <c r="G26" s="23" t="s">
        <v>589</v>
      </c>
      <c r="H26" s="179"/>
    </row>
    <row r="27" spans="2:8">
      <c r="B27" s="498"/>
      <c r="C27" s="42" t="s">
        <v>559</v>
      </c>
      <c r="D27" s="499" t="s">
        <v>590</v>
      </c>
      <c r="E27" s="500"/>
      <c r="F27" s="500"/>
      <c r="G27" s="500"/>
      <c r="H27" s="501"/>
    </row>
    <row r="28" spans="2:8" ht="26.45" thickBot="1">
      <c r="B28" s="490" t="s">
        <v>577</v>
      </c>
      <c r="C28" s="42" t="s">
        <v>553</v>
      </c>
      <c r="D28" s="43" t="s">
        <v>588</v>
      </c>
      <c r="E28" s="44" t="s">
        <v>582</v>
      </c>
      <c r="F28" s="44" t="s">
        <v>583</v>
      </c>
      <c r="G28" s="44" t="s">
        <v>589</v>
      </c>
      <c r="H28" s="179"/>
    </row>
    <row r="29" spans="2:8" ht="15" thickBot="1">
      <c r="B29" s="491"/>
      <c r="C29" s="26" t="s">
        <v>559</v>
      </c>
      <c r="D29" s="492" t="s">
        <v>591</v>
      </c>
      <c r="E29" s="493"/>
      <c r="F29" s="493"/>
      <c r="G29" s="493"/>
      <c r="H29" s="494"/>
    </row>
  </sheetData>
  <mergeCells count="32">
    <mergeCell ref="I7:K7"/>
    <mergeCell ref="I8:I9"/>
    <mergeCell ref="F9:H9"/>
    <mergeCell ref="B1:K1"/>
    <mergeCell ref="B2:K2"/>
    <mergeCell ref="I3:K3"/>
    <mergeCell ref="F4:H4"/>
    <mergeCell ref="I4:K4"/>
    <mergeCell ref="I11:K11"/>
    <mergeCell ref="D13:K13"/>
    <mergeCell ref="B24:B25"/>
    <mergeCell ref="D25:H25"/>
    <mergeCell ref="B22:B23"/>
    <mergeCell ref="D23:H23"/>
    <mergeCell ref="B19:H19"/>
    <mergeCell ref="B20:C20"/>
    <mergeCell ref="D20:H20"/>
    <mergeCell ref="E21:F21"/>
    <mergeCell ref="B28:B29"/>
    <mergeCell ref="D29:H29"/>
    <mergeCell ref="B3:C5"/>
    <mergeCell ref="D3:E3"/>
    <mergeCell ref="F3:H3"/>
    <mergeCell ref="B26:B27"/>
    <mergeCell ref="D27:H27"/>
    <mergeCell ref="B18:G18"/>
    <mergeCell ref="B6:B7"/>
    <mergeCell ref="F7:H7"/>
    <mergeCell ref="B8:B9"/>
    <mergeCell ref="B10:B11"/>
    <mergeCell ref="D10:D11"/>
    <mergeCell ref="E10:E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6C3D-21D3-4EF7-A7FA-A16B253E7991}">
  <sheetPr>
    <tabColor rgb="FF92D050"/>
  </sheetPr>
  <dimension ref="A1:I59"/>
  <sheetViews>
    <sheetView workbookViewId="0">
      <selection activeCell="D46" sqref="D46"/>
    </sheetView>
  </sheetViews>
  <sheetFormatPr defaultColWidth="11.42578125" defaultRowHeight="14.45"/>
  <cols>
    <col min="1" max="1" width="11" customWidth="1"/>
    <col min="2" max="2" width="11.85546875" bestFit="1" customWidth="1"/>
    <col min="3" max="3" width="26.42578125" bestFit="1" customWidth="1"/>
    <col min="4" max="4" width="13.7109375" style="13" bestFit="1" customWidth="1"/>
    <col min="5" max="5" width="15.85546875" style="1" bestFit="1" customWidth="1"/>
    <col min="6" max="6" width="41" bestFit="1" customWidth="1"/>
    <col min="7" max="7" width="10.28515625" style="13" customWidth="1"/>
    <col min="8" max="8" width="4.28515625" bestFit="1" customWidth="1"/>
    <col min="9" max="9" width="8.28515625" customWidth="1"/>
  </cols>
  <sheetData>
    <row r="1" spans="1:9">
      <c r="B1" s="418" t="s">
        <v>592</v>
      </c>
      <c r="C1" s="418"/>
      <c r="D1" s="418"/>
      <c r="E1" s="418"/>
      <c r="F1" s="418"/>
    </row>
    <row r="2" spans="1:9">
      <c r="B2" s="418" t="s">
        <v>156</v>
      </c>
      <c r="C2" s="418"/>
      <c r="D2" s="418"/>
      <c r="E2" s="418"/>
      <c r="F2" s="418"/>
    </row>
    <row r="3" spans="1:9">
      <c r="A3" s="9" t="s">
        <v>1</v>
      </c>
      <c r="B3" s="10" t="s">
        <v>352</v>
      </c>
      <c r="C3" s="16" t="s">
        <v>3</v>
      </c>
      <c r="D3" s="16" t="s">
        <v>4</v>
      </c>
      <c r="E3" s="5" t="s">
        <v>5</v>
      </c>
      <c r="F3" s="5" t="s">
        <v>6</v>
      </c>
      <c r="G3" s="91"/>
    </row>
    <row r="4" spans="1:9">
      <c r="A4" s="166" t="s">
        <v>172</v>
      </c>
      <c r="B4" s="160">
        <v>8950572</v>
      </c>
      <c r="C4" s="161" t="s">
        <v>593</v>
      </c>
      <c r="D4" s="206">
        <v>1002965155</v>
      </c>
      <c r="E4" s="49">
        <v>3015215948</v>
      </c>
      <c r="F4" s="164" t="s">
        <v>594</v>
      </c>
      <c r="H4" s="13" t="s">
        <v>172</v>
      </c>
      <c r="I4" s="13">
        <f t="shared" ref="I4:I12" si="0">COUNTIF($A$4:$A$58,H4)</f>
        <v>6</v>
      </c>
    </row>
    <row r="5" spans="1:9">
      <c r="A5" s="166" t="s">
        <v>172</v>
      </c>
      <c r="B5" s="162">
        <v>8958131</v>
      </c>
      <c r="C5" s="163" t="s">
        <v>595</v>
      </c>
      <c r="D5" s="207">
        <v>1005745290</v>
      </c>
      <c r="E5" s="188">
        <v>3176267556</v>
      </c>
      <c r="F5" s="165" t="s">
        <v>596</v>
      </c>
      <c r="H5" s="13" t="s">
        <v>180</v>
      </c>
      <c r="I5" s="13">
        <f t="shared" si="0"/>
        <v>6</v>
      </c>
    </row>
    <row r="6" spans="1:9">
      <c r="A6" s="166" t="s">
        <v>172</v>
      </c>
      <c r="B6" s="162">
        <v>8962324</v>
      </c>
      <c r="C6" s="163" t="s">
        <v>597</v>
      </c>
      <c r="D6" s="207">
        <v>1000287235</v>
      </c>
      <c r="E6" s="188">
        <v>3153887472</v>
      </c>
      <c r="F6" s="165" t="s">
        <v>598</v>
      </c>
      <c r="H6" s="13" t="s">
        <v>179</v>
      </c>
      <c r="I6" s="13">
        <f t="shared" si="0"/>
        <v>6</v>
      </c>
    </row>
    <row r="7" spans="1:9">
      <c r="A7" s="166" t="s">
        <v>172</v>
      </c>
      <c r="B7" s="162">
        <v>8962638</v>
      </c>
      <c r="C7" s="163" t="s">
        <v>599</v>
      </c>
      <c r="D7" s="207">
        <v>1193133482</v>
      </c>
      <c r="E7" s="188">
        <v>2263294</v>
      </c>
      <c r="F7" s="165" t="s">
        <v>600</v>
      </c>
      <c r="H7" s="13" t="s">
        <v>178</v>
      </c>
      <c r="I7" s="13">
        <f t="shared" si="0"/>
        <v>5</v>
      </c>
    </row>
    <row r="8" spans="1:9">
      <c r="A8" s="166" t="s">
        <v>172</v>
      </c>
      <c r="B8" s="162">
        <v>8963132</v>
      </c>
      <c r="C8" s="163" t="s">
        <v>601</v>
      </c>
      <c r="D8" s="207">
        <v>1005980726</v>
      </c>
      <c r="E8" s="188">
        <v>3236123512</v>
      </c>
      <c r="F8" s="165" t="s">
        <v>602</v>
      </c>
      <c r="H8" s="13" t="s">
        <v>177</v>
      </c>
      <c r="I8" s="13">
        <f t="shared" si="0"/>
        <v>6</v>
      </c>
    </row>
    <row r="9" spans="1:9">
      <c r="A9" s="166" t="s">
        <v>172</v>
      </c>
      <c r="B9" s="162">
        <v>8964911</v>
      </c>
      <c r="C9" s="163" t="s">
        <v>603</v>
      </c>
      <c r="D9" s="207">
        <v>1082656323</v>
      </c>
      <c r="E9" s="188">
        <v>3155273754</v>
      </c>
      <c r="F9" s="165" t="s">
        <v>604</v>
      </c>
      <c r="H9" s="13" t="s">
        <v>176</v>
      </c>
      <c r="I9" s="13">
        <f t="shared" si="0"/>
        <v>5</v>
      </c>
    </row>
    <row r="10" spans="1:9">
      <c r="A10" s="166" t="s">
        <v>180</v>
      </c>
      <c r="B10" s="162">
        <v>8966040</v>
      </c>
      <c r="C10" s="163" t="s">
        <v>605</v>
      </c>
      <c r="D10" s="207">
        <v>1005895653</v>
      </c>
      <c r="E10" s="188">
        <v>3707545</v>
      </c>
      <c r="F10" s="165" t="s">
        <v>606</v>
      </c>
      <c r="G10" s="46"/>
      <c r="H10" s="13" t="s">
        <v>175</v>
      </c>
      <c r="I10" s="13">
        <f t="shared" si="0"/>
        <v>6</v>
      </c>
    </row>
    <row r="11" spans="1:9">
      <c r="A11" s="166" t="s">
        <v>180</v>
      </c>
      <c r="B11" s="162">
        <v>8966087</v>
      </c>
      <c r="C11" s="163" t="s">
        <v>607</v>
      </c>
      <c r="D11" s="207">
        <v>1007542052</v>
      </c>
      <c r="E11" s="188">
        <v>6023782896</v>
      </c>
      <c r="F11" s="165" t="s">
        <v>608</v>
      </c>
      <c r="H11" s="13" t="s">
        <v>174</v>
      </c>
      <c r="I11" s="13">
        <f t="shared" si="0"/>
        <v>5</v>
      </c>
    </row>
    <row r="12" spans="1:9">
      <c r="A12" s="166" t="s">
        <v>180</v>
      </c>
      <c r="B12" s="162">
        <v>8966123</v>
      </c>
      <c r="C12" s="163" t="s">
        <v>609</v>
      </c>
      <c r="D12" s="207">
        <v>1005893400</v>
      </c>
      <c r="E12" s="188">
        <v>3207741109</v>
      </c>
      <c r="F12" s="165" t="s">
        <v>610</v>
      </c>
      <c r="H12" s="13" t="s">
        <v>173</v>
      </c>
      <c r="I12" s="13">
        <f t="shared" si="0"/>
        <v>5</v>
      </c>
    </row>
    <row r="13" spans="1:9">
      <c r="A13" s="166" t="s">
        <v>180</v>
      </c>
      <c r="B13" s="162">
        <v>8966297</v>
      </c>
      <c r="C13" s="163" t="s">
        <v>611</v>
      </c>
      <c r="D13" s="207">
        <v>1005979999</v>
      </c>
      <c r="E13" s="188">
        <v>4204828</v>
      </c>
      <c r="F13" s="165" t="s">
        <v>612</v>
      </c>
      <c r="H13" s="13" t="s">
        <v>430</v>
      </c>
      <c r="I13" s="13">
        <f>COUNTIF($A$4:$A$59,H13)</f>
        <v>6</v>
      </c>
    </row>
    <row r="14" spans="1:9">
      <c r="A14" s="166" t="s">
        <v>180</v>
      </c>
      <c r="B14" s="162">
        <v>8966313</v>
      </c>
      <c r="C14" s="163" t="s">
        <v>613</v>
      </c>
      <c r="D14" s="207">
        <v>1005891936</v>
      </c>
      <c r="E14" s="188">
        <v>3102722047</v>
      </c>
      <c r="F14" s="165" t="s">
        <v>614</v>
      </c>
      <c r="H14" s="13"/>
      <c r="I14" s="13">
        <f>SUM(I4:J13)</f>
        <v>56</v>
      </c>
    </row>
    <row r="15" spans="1:9">
      <c r="A15" s="166" t="s">
        <v>180</v>
      </c>
      <c r="B15" s="162">
        <v>8966704</v>
      </c>
      <c r="C15" s="163" t="s">
        <v>615</v>
      </c>
      <c r="D15" s="207">
        <v>1110362981</v>
      </c>
      <c r="E15" s="188">
        <v>3024626458</v>
      </c>
      <c r="F15" s="165" t="s">
        <v>616</v>
      </c>
    </row>
    <row r="16" spans="1:9">
      <c r="A16" s="166" t="s">
        <v>179</v>
      </c>
      <c r="B16" s="162">
        <v>8967094</v>
      </c>
      <c r="C16" s="163" t="s">
        <v>617</v>
      </c>
      <c r="D16" s="207">
        <v>1107835714</v>
      </c>
      <c r="E16" s="188">
        <v>3735334</v>
      </c>
      <c r="F16" s="165" t="s">
        <v>618</v>
      </c>
    </row>
    <row r="17" spans="1:7">
      <c r="A17" s="166" t="s">
        <v>179</v>
      </c>
      <c r="B17" s="162">
        <v>8967294</v>
      </c>
      <c r="C17" s="163" t="s">
        <v>619</v>
      </c>
      <c r="D17" s="207">
        <v>1007541925</v>
      </c>
      <c r="E17" s="188">
        <v>3146262809</v>
      </c>
      <c r="F17" s="165" t="s">
        <v>620</v>
      </c>
    </row>
    <row r="18" spans="1:7">
      <c r="A18" s="166" t="s">
        <v>179</v>
      </c>
      <c r="B18" s="162">
        <v>8967697</v>
      </c>
      <c r="C18" s="163" t="s">
        <v>621</v>
      </c>
      <c r="D18" s="207">
        <v>1000603197</v>
      </c>
      <c r="E18" s="188">
        <v>3225252727</v>
      </c>
      <c r="F18" s="165" t="s">
        <v>622</v>
      </c>
    </row>
    <row r="19" spans="1:7">
      <c r="A19" s="166" t="s">
        <v>179</v>
      </c>
      <c r="B19" s="162">
        <v>8967826</v>
      </c>
      <c r="C19" s="163" t="s">
        <v>623</v>
      </c>
      <c r="D19" s="207">
        <v>1105360333</v>
      </c>
      <c r="E19" s="188">
        <v>5563133</v>
      </c>
      <c r="F19" s="165" t="s">
        <v>624</v>
      </c>
    </row>
    <row r="20" spans="1:7">
      <c r="A20" s="166" t="s">
        <v>179</v>
      </c>
      <c r="B20" s="162">
        <v>8967956</v>
      </c>
      <c r="C20" s="163" t="s">
        <v>625</v>
      </c>
      <c r="D20" s="207">
        <v>1107836481</v>
      </c>
      <c r="E20" s="188">
        <v>2839395</v>
      </c>
      <c r="F20" s="165" t="s">
        <v>626</v>
      </c>
    </row>
    <row r="21" spans="1:7">
      <c r="A21" s="166" t="s">
        <v>179</v>
      </c>
      <c r="B21" s="162">
        <v>8967985</v>
      </c>
      <c r="C21" s="163" t="s">
        <v>627</v>
      </c>
      <c r="D21" s="207">
        <v>1105363142</v>
      </c>
      <c r="E21" s="188">
        <v>3171182479</v>
      </c>
      <c r="F21" s="165" t="s">
        <v>628</v>
      </c>
    </row>
    <row r="22" spans="1:7">
      <c r="A22" s="166" t="s">
        <v>178</v>
      </c>
      <c r="B22" s="162">
        <v>8970382</v>
      </c>
      <c r="C22" s="163" t="s">
        <v>629</v>
      </c>
      <c r="D22" s="207">
        <v>1061685312</v>
      </c>
      <c r="E22" s="188">
        <v>8351014</v>
      </c>
      <c r="F22" s="165" t="s">
        <v>630</v>
      </c>
    </row>
    <row r="23" spans="1:7">
      <c r="A23" s="166" t="s">
        <v>178</v>
      </c>
      <c r="B23" s="162">
        <v>8971324</v>
      </c>
      <c r="C23" s="163" t="s">
        <v>631</v>
      </c>
      <c r="D23" s="207">
        <v>1034519934</v>
      </c>
      <c r="E23" s="188">
        <v>23965422</v>
      </c>
      <c r="F23" s="165" t="s">
        <v>632</v>
      </c>
    </row>
    <row r="24" spans="1:7">
      <c r="A24" s="166" t="s">
        <v>178</v>
      </c>
      <c r="B24" s="162">
        <v>8971483</v>
      </c>
      <c r="C24" s="163" t="s">
        <v>633</v>
      </c>
      <c r="D24" s="207">
        <v>1062280881</v>
      </c>
      <c r="E24" s="188">
        <v>3226666219</v>
      </c>
      <c r="F24" s="165" t="s">
        <v>634</v>
      </c>
    </row>
    <row r="25" spans="1:7">
      <c r="A25" s="166" t="s">
        <v>178</v>
      </c>
      <c r="B25" s="162">
        <v>8971682</v>
      </c>
      <c r="C25" s="163" t="s">
        <v>635</v>
      </c>
      <c r="D25" s="207">
        <v>1002964231</v>
      </c>
      <c r="E25" s="188">
        <v>3168644008</v>
      </c>
      <c r="F25" s="165" t="s">
        <v>636</v>
      </c>
    </row>
    <row r="26" spans="1:7">
      <c r="A26" s="166" t="s">
        <v>178</v>
      </c>
      <c r="B26" s="162">
        <v>8972007</v>
      </c>
      <c r="C26" s="163" t="s">
        <v>637</v>
      </c>
      <c r="D26" s="207">
        <v>1034658262</v>
      </c>
      <c r="E26" s="188">
        <v>3186268948</v>
      </c>
      <c r="F26" s="165" t="s">
        <v>638</v>
      </c>
    </row>
    <row r="27" spans="1:7">
      <c r="A27" s="166" t="s">
        <v>177</v>
      </c>
      <c r="B27" s="162">
        <v>8972110</v>
      </c>
      <c r="C27" s="163" t="s">
        <v>639</v>
      </c>
      <c r="D27" s="207">
        <v>1058546376</v>
      </c>
      <c r="E27" s="188">
        <v>8367065</v>
      </c>
      <c r="F27" s="165" t="s">
        <v>640</v>
      </c>
    </row>
    <row r="28" spans="1:7">
      <c r="A28" s="166" t="s">
        <v>177</v>
      </c>
      <c r="B28" s="162">
        <v>8972132</v>
      </c>
      <c r="C28" s="163" t="s">
        <v>641</v>
      </c>
      <c r="D28" s="207">
        <v>1004233429</v>
      </c>
      <c r="E28" s="188">
        <v>3113285314</v>
      </c>
      <c r="F28" s="165" t="s">
        <v>642</v>
      </c>
    </row>
    <row r="29" spans="1:7">
      <c r="A29" s="166" t="s">
        <v>177</v>
      </c>
      <c r="B29" s="162">
        <v>8972170</v>
      </c>
      <c r="C29" s="163" t="s">
        <v>643</v>
      </c>
      <c r="D29" s="207">
        <v>1007619740</v>
      </c>
      <c r="E29" s="188">
        <v>8879441</v>
      </c>
      <c r="F29" s="165" t="s">
        <v>644</v>
      </c>
    </row>
    <row r="30" spans="1:7">
      <c r="A30" s="166" t="s">
        <v>177</v>
      </c>
      <c r="B30" s="162">
        <v>8973723</v>
      </c>
      <c r="C30" s="163" t="s">
        <v>645</v>
      </c>
      <c r="D30" s="207">
        <v>1007541912</v>
      </c>
      <c r="E30" s="188">
        <v>3004077217</v>
      </c>
      <c r="F30" s="165" t="s">
        <v>646</v>
      </c>
    </row>
    <row r="31" spans="1:7">
      <c r="A31" s="166" t="s">
        <v>177</v>
      </c>
      <c r="B31" s="162">
        <v>8973832</v>
      </c>
      <c r="C31" s="163" t="s">
        <v>647</v>
      </c>
      <c r="D31" s="207">
        <v>1107835899</v>
      </c>
      <c r="E31" s="188">
        <v>3175803208</v>
      </c>
      <c r="F31" s="165" t="s">
        <v>648</v>
      </c>
    </row>
    <row r="32" spans="1:7">
      <c r="A32" s="284" t="s">
        <v>177</v>
      </c>
      <c r="B32" s="285">
        <v>8958125</v>
      </c>
      <c r="C32" s="286" t="s">
        <v>649</v>
      </c>
      <c r="D32" s="287">
        <v>1006491719</v>
      </c>
      <c r="E32" s="288">
        <v>3168736507</v>
      </c>
      <c r="F32" s="289" t="s">
        <v>650</v>
      </c>
      <c r="G32" s="91" t="s">
        <v>365</v>
      </c>
    </row>
    <row r="33" spans="1:7">
      <c r="A33" s="166" t="s">
        <v>176</v>
      </c>
      <c r="B33" s="162">
        <v>8973989</v>
      </c>
      <c r="C33" s="163" t="s">
        <v>651</v>
      </c>
      <c r="D33" s="207">
        <v>1107975340</v>
      </c>
      <c r="E33" s="188">
        <v>3195185395</v>
      </c>
      <c r="F33" s="165" t="s">
        <v>652</v>
      </c>
    </row>
    <row r="34" spans="1:7">
      <c r="A34" s="166" t="s">
        <v>176</v>
      </c>
      <c r="B34" s="162">
        <v>8973996</v>
      </c>
      <c r="C34" s="163" t="s">
        <v>653</v>
      </c>
      <c r="D34" s="207">
        <v>1107843807</v>
      </c>
      <c r="E34" s="188">
        <v>5169287</v>
      </c>
      <c r="F34" s="165" t="s">
        <v>654</v>
      </c>
    </row>
    <row r="35" spans="1:7">
      <c r="A35" s="166" t="s">
        <v>176</v>
      </c>
      <c r="B35" s="162">
        <v>8974251</v>
      </c>
      <c r="C35" s="163" t="s">
        <v>655</v>
      </c>
      <c r="D35" s="207">
        <v>1006208318</v>
      </c>
      <c r="E35" s="188">
        <v>3174425265</v>
      </c>
      <c r="F35" s="165" t="s">
        <v>656</v>
      </c>
    </row>
    <row r="36" spans="1:7">
      <c r="A36" s="166" t="s">
        <v>176</v>
      </c>
      <c r="B36" s="162">
        <v>8974302</v>
      </c>
      <c r="C36" s="163" t="s">
        <v>657</v>
      </c>
      <c r="D36" s="207">
        <v>1110366707</v>
      </c>
      <c r="E36" s="188">
        <v>3217571732</v>
      </c>
      <c r="F36" s="165" t="s">
        <v>658</v>
      </c>
    </row>
    <row r="37" spans="1:7">
      <c r="A37" s="166" t="s">
        <v>176</v>
      </c>
      <c r="B37" s="162">
        <v>8974311</v>
      </c>
      <c r="C37" s="163" t="s">
        <v>659</v>
      </c>
      <c r="D37" s="207">
        <v>1105360931</v>
      </c>
      <c r="E37" s="188">
        <v>2887242</v>
      </c>
      <c r="F37" s="165" t="s">
        <v>660</v>
      </c>
    </row>
    <row r="38" spans="1:7">
      <c r="A38" s="166" t="s">
        <v>175</v>
      </c>
      <c r="B38" s="162">
        <v>8974315</v>
      </c>
      <c r="C38" s="163" t="s">
        <v>661</v>
      </c>
      <c r="D38" s="207">
        <v>1105362019</v>
      </c>
      <c r="E38" s="188">
        <v>4050390</v>
      </c>
      <c r="F38" s="165" t="s">
        <v>662</v>
      </c>
    </row>
    <row r="39" spans="1:7">
      <c r="A39" s="166" t="s">
        <v>175</v>
      </c>
      <c r="B39" s="162">
        <v>8974330</v>
      </c>
      <c r="C39" s="163" t="s">
        <v>663</v>
      </c>
      <c r="D39" s="207">
        <v>1107836039</v>
      </c>
      <c r="E39" s="188">
        <v>3742314</v>
      </c>
      <c r="F39" s="165" t="s">
        <v>664</v>
      </c>
    </row>
    <row r="40" spans="1:7">
      <c r="A40" s="166" t="s">
        <v>175</v>
      </c>
      <c r="B40" s="162">
        <v>8974716</v>
      </c>
      <c r="C40" s="163" t="s">
        <v>665</v>
      </c>
      <c r="D40" s="207">
        <v>1110365478</v>
      </c>
      <c r="E40" s="188">
        <v>3003391302</v>
      </c>
      <c r="F40" s="165" t="s">
        <v>666</v>
      </c>
    </row>
    <row r="41" spans="1:7">
      <c r="A41" s="166" t="s">
        <v>175</v>
      </c>
      <c r="B41" s="162">
        <v>8974807</v>
      </c>
      <c r="C41" s="163" t="s">
        <v>667</v>
      </c>
      <c r="D41" s="207">
        <v>1105361995</v>
      </c>
      <c r="E41" s="188">
        <v>3175100263</v>
      </c>
      <c r="F41" s="165" t="s">
        <v>668</v>
      </c>
    </row>
    <row r="42" spans="1:7">
      <c r="A42" s="284" t="s">
        <v>175</v>
      </c>
      <c r="B42" s="285">
        <v>8968503</v>
      </c>
      <c r="C42" s="286" t="s">
        <v>669</v>
      </c>
      <c r="D42" s="287">
        <v>1144045133</v>
      </c>
      <c r="E42" s="288">
        <v>3104371732</v>
      </c>
      <c r="F42" s="289" t="s">
        <v>670</v>
      </c>
      <c r="G42" s="92" t="s">
        <v>671</v>
      </c>
    </row>
    <row r="43" spans="1:7">
      <c r="A43" s="166" t="s">
        <v>175</v>
      </c>
      <c r="B43" s="162">
        <v>8974837</v>
      </c>
      <c r="C43" s="163" t="s">
        <v>672</v>
      </c>
      <c r="D43" s="207">
        <v>1005745446</v>
      </c>
      <c r="E43" s="188">
        <v>5553876</v>
      </c>
      <c r="F43" s="165" t="s">
        <v>673</v>
      </c>
    </row>
    <row r="44" spans="1:7">
      <c r="A44" s="166" t="s">
        <v>174</v>
      </c>
      <c r="B44" s="162">
        <v>8974890</v>
      </c>
      <c r="C44" s="163" t="s">
        <v>674</v>
      </c>
      <c r="D44" s="207">
        <v>1112038421</v>
      </c>
      <c r="E44" s="188">
        <v>4817796</v>
      </c>
      <c r="F44" s="165" t="s">
        <v>675</v>
      </c>
    </row>
    <row r="45" spans="1:7">
      <c r="A45" s="166" t="s">
        <v>174</v>
      </c>
      <c r="B45" s="162">
        <v>8975017</v>
      </c>
      <c r="C45" s="163" t="s">
        <v>676</v>
      </c>
      <c r="D45" s="207">
        <v>1105360241</v>
      </c>
      <c r="E45" s="188">
        <v>3174755008</v>
      </c>
      <c r="F45" s="165" t="s">
        <v>677</v>
      </c>
    </row>
    <row r="46" spans="1:7">
      <c r="A46" s="166" t="s">
        <v>174</v>
      </c>
      <c r="B46" s="162">
        <v>8975018</v>
      </c>
      <c r="C46" s="163" t="s">
        <v>678</v>
      </c>
      <c r="D46" s="207">
        <v>1006106812</v>
      </c>
      <c r="E46" s="188">
        <v>3206459107</v>
      </c>
      <c r="F46" s="165" t="s">
        <v>679</v>
      </c>
    </row>
    <row r="47" spans="1:7">
      <c r="A47" s="166" t="s">
        <v>174</v>
      </c>
      <c r="B47" s="162">
        <v>8975117</v>
      </c>
      <c r="C47" s="163" t="s">
        <v>680</v>
      </c>
      <c r="D47" s="207">
        <v>1058547979</v>
      </c>
      <c r="E47" s="188">
        <v>6028371424</v>
      </c>
      <c r="F47" s="165" t="s">
        <v>681</v>
      </c>
    </row>
    <row r="48" spans="1:7">
      <c r="A48" s="166" t="s">
        <v>174</v>
      </c>
      <c r="B48" s="162">
        <v>8975244</v>
      </c>
      <c r="C48" s="163" t="s">
        <v>682</v>
      </c>
      <c r="D48" s="207">
        <v>1110288707</v>
      </c>
      <c r="E48" s="188">
        <v>3719126</v>
      </c>
      <c r="F48" s="165" t="s">
        <v>683</v>
      </c>
    </row>
    <row r="49" spans="1:6">
      <c r="A49" s="166" t="s">
        <v>173</v>
      </c>
      <c r="B49" s="162">
        <v>8975338</v>
      </c>
      <c r="C49" s="163" t="s">
        <v>684</v>
      </c>
      <c r="D49" s="207">
        <v>1113989994</v>
      </c>
      <c r="E49" s="188">
        <v>2719294</v>
      </c>
      <c r="F49" s="165" t="s">
        <v>685</v>
      </c>
    </row>
    <row r="50" spans="1:6">
      <c r="A50" s="166" t="s">
        <v>173</v>
      </c>
      <c r="B50" s="162">
        <v>8975500</v>
      </c>
      <c r="C50" s="163" t="s">
        <v>686</v>
      </c>
      <c r="D50" s="207">
        <v>1005745601</v>
      </c>
      <c r="E50" s="188">
        <v>6023129324</v>
      </c>
      <c r="F50" s="165" t="s">
        <v>687</v>
      </c>
    </row>
    <row r="51" spans="1:6">
      <c r="A51" s="166" t="s">
        <v>173</v>
      </c>
      <c r="B51" s="162">
        <v>8975906</v>
      </c>
      <c r="C51" s="163" t="s">
        <v>688</v>
      </c>
      <c r="D51" s="207">
        <v>1105364443</v>
      </c>
      <c r="E51" s="188">
        <v>3708478</v>
      </c>
      <c r="F51" s="165" t="s">
        <v>689</v>
      </c>
    </row>
    <row r="52" spans="1:6">
      <c r="A52" s="166" t="s">
        <v>173</v>
      </c>
      <c r="B52" s="162">
        <v>8976021</v>
      </c>
      <c r="C52" s="163" t="s">
        <v>690</v>
      </c>
      <c r="D52" s="207">
        <v>1107838140</v>
      </c>
      <c r="E52" s="188">
        <v>3165295353</v>
      </c>
      <c r="F52" s="165" t="s">
        <v>691</v>
      </c>
    </row>
    <row r="53" spans="1:6">
      <c r="A53" s="166" t="s">
        <v>173</v>
      </c>
      <c r="B53" s="162">
        <v>8976122</v>
      </c>
      <c r="C53" s="163" t="s">
        <v>692</v>
      </c>
      <c r="D53" s="207">
        <v>1105360108</v>
      </c>
      <c r="E53" s="188">
        <v>6023704954</v>
      </c>
      <c r="F53" s="165" t="s">
        <v>693</v>
      </c>
    </row>
    <row r="54" spans="1:6">
      <c r="A54" s="166" t="s">
        <v>430</v>
      </c>
      <c r="B54" s="162">
        <v>8976578</v>
      </c>
      <c r="C54" s="163" t="s">
        <v>694</v>
      </c>
      <c r="D54" s="207">
        <v>1110285223</v>
      </c>
      <c r="E54" s="188">
        <v>3004677288</v>
      </c>
      <c r="F54" s="165" t="s">
        <v>695</v>
      </c>
    </row>
    <row r="55" spans="1:6">
      <c r="A55" s="166" t="s">
        <v>430</v>
      </c>
      <c r="B55" s="162">
        <v>8976815</v>
      </c>
      <c r="C55" s="163" t="s">
        <v>696</v>
      </c>
      <c r="D55" s="207">
        <v>1105360541</v>
      </c>
      <c r="E55" s="188">
        <v>3028639174</v>
      </c>
      <c r="F55" s="165" t="s">
        <v>697</v>
      </c>
    </row>
    <row r="56" spans="1:6">
      <c r="A56" s="166" t="s">
        <v>430</v>
      </c>
      <c r="B56" s="162">
        <v>8977152</v>
      </c>
      <c r="C56" s="163" t="s">
        <v>698</v>
      </c>
      <c r="D56" s="207">
        <v>1112619233</v>
      </c>
      <c r="E56" s="188">
        <v>3456146</v>
      </c>
      <c r="F56" s="165" t="s">
        <v>699</v>
      </c>
    </row>
    <row r="57" spans="1:6">
      <c r="A57" s="166" t="s">
        <v>430</v>
      </c>
      <c r="B57" s="162">
        <v>8977162</v>
      </c>
      <c r="C57" s="163" t="s">
        <v>700</v>
      </c>
      <c r="D57" s="207">
        <v>1104940329</v>
      </c>
      <c r="E57" s="188">
        <v>4060950</v>
      </c>
      <c r="F57" s="165" t="s">
        <v>701</v>
      </c>
    </row>
    <row r="58" spans="1:6">
      <c r="A58" s="166" t="s">
        <v>430</v>
      </c>
      <c r="B58" s="162">
        <v>8977318</v>
      </c>
      <c r="C58" s="163" t="s">
        <v>702</v>
      </c>
      <c r="D58" s="207">
        <v>1105928028</v>
      </c>
      <c r="E58" s="188">
        <v>3155356129</v>
      </c>
      <c r="F58" s="165" t="s">
        <v>703</v>
      </c>
    </row>
    <row r="59" spans="1:6">
      <c r="A59" s="62" t="s">
        <v>430</v>
      </c>
      <c r="B59" s="162">
        <v>8977324</v>
      </c>
      <c r="C59" s="163" t="s">
        <v>704</v>
      </c>
      <c r="D59" s="207">
        <v>1105928027</v>
      </c>
      <c r="E59" s="188">
        <v>3155356129</v>
      </c>
      <c r="F59" s="165" t="s">
        <v>705</v>
      </c>
    </row>
  </sheetData>
  <autoFilter ref="A3:G59" xr:uid="{E6A96C3D-21D3-4EF7-A7FA-A16B253E7991}"/>
  <sortState xmlns:xlrd2="http://schemas.microsoft.com/office/spreadsheetml/2017/richdata2" ref="A4:F54">
    <sortCondition ref="A4:A54"/>
  </sortState>
  <mergeCells count="2">
    <mergeCell ref="B1:F1"/>
    <mergeCell ref="B2:F2"/>
  </mergeCells>
  <hyperlinks>
    <hyperlink ref="F32" r:id="rId1" xr:uid="{1718FB87-D677-4001-8DE5-2FE2D2642C3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2B96-30AB-4A7E-AD30-2A9EF0F59936}">
  <sheetPr>
    <tabColor rgb="FF92D050"/>
  </sheetPr>
  <dimension ref="A1:I11"/>
  <sheetViews>
    <sheetView workbookViewId="0">
      <pane xSplit="2" ySplit="1" topLeftCell="C2" activePane="bottomRight" state="frozen"/>
      <selection pane="bottomRight" activeCell="B6" sqref="B6:B7"/>
      <selection pane="bottomLeft"/>
      <selection pane="topRight"/>
    </sheetView>
  </sheetViews>
  <sheetFormatPr defaultColWidth="11.42578125" defaultRowHeight="14.45"/>
  <cols>
    <col min="1" max="1" width="19" style="2" bestFit="1" customWidth="1"/>
    <col min="2" max="2" width="34.28515625" customWidth="1"/>
    <col min="3" max="3" width="15.85546875" style="2" customWidth="1"/>
    <col min="4" max="4" width="15.42578125" style="1" customWidth="1"/>
    <col min="5" max="5" width="15" style="2" customWidth="1"/>
    <col min="6" max="6" width="14.42578125" style="2" customWidth="1"/>
    <col min="7" max="7" width="13.42578125" style="2" customWidth="1"/>
    <col min="9" max="9" width="22.7109375" customWidth="1"/>
  </cols>
  <sheetData>
    <row r="1" spans="1:9" ht="47.25" customHeight="1">
      <c r="A1" s="33" t="s">
        <v>706</v>
      </c>
      <c r="B1" s="68" t="s">
        <v>707</v>
      </c>
      <c r="C1" s="65" t="s">
        <v>708</v>
      </c>
      <c r="D1" s="65" t="s">
        <v>709</v>
      </c>
      <c r="E1" s="65" t="s">
        <v>710</v>
      </c>
      <c r="F1" s="65" t="s">
        <v>711</v>
      </c>
      <c r="G1" s="65" t="s">
        <v>712</v>
      </c>
      <c r="H1" s="66"/>
      <c r="I1" s="45" t="s">
        <v>713</v>
      </c>
    </row>
    <row r="2" spans="1:9" ht="30.75">
      <c r="A2" s="528" t="s">
        <v>714</v>
      </c>
      <c r="B2" s="267" t="s">
        <v>715</v>
      </c>
      <c r="C2" s="81" t="s">
        <v>172</v>
      </c>
      <c r="D2" s="82" t="s">
        <v>173</v>
      </c>
      <c r="E2" s="83" t="s">
        <v>175</v>
      </c>
      <c r="F2" s="84" t="s">
        <v>177</v>
      </c>
      <c r="G2" s="85" t="s">
        <v>179</v>
      </c>
      <c r="H2" s="66"/>
      <c r="I2" s="66"/>
    </row>
    <row r="3" spans="1:9" ht="15.6">
      <c r="A3" s="528"/>
      <c r="B3" s="267" t="s">
        <v>716</v>
      </c>
      <c r="C3" s="86" t="s">
        <v>180</v>
      </c>
      <c r="D3" s="87" t="s">
        <v>430</v>
      </c>
      <c r="E3" s="88" t="s">
        <v>174</v>
      </c>
      <c r="F3" s="89" t="s">
        <v>176</v>
      </c>
      <c r="G3" s="90" t="s">
        <v>178</v>
      </c>
      <c r="H3" s="66"/>
      <c r="I3" s="66"/>
    </row>
    <row r="4" spans="1:9" ht="15.6">
      <c r="A4" s="528" t="s">
        <v>717</v>
      </c>
      <c r="B4" s="268" t="s">
        <v>718</v>
      </c>
      <c r="C4" s="85" t="s">
        <v>179</v>
      </c>
      <c r="D4" s="81" t="s">
        <v>172</v>
      </c>
      <c r="E4" s="82" t="s">
        <v>173</v>
      </c>
      <c r="F4" s="83" t="s">
        <v>175</v>
      </c>
      <c r="G4" s="84" t="s">
        <v>177</v>
      </c>
      <c r="H4" s="66"/>
      <c r="I4" s="66"/>
    </row>
    <row r="5" spans="1:9" ht="15.6">
      <c r="A5" s="528"/>
      <c r="B5" s="268" t="s">
        <v>719</v>
      </c>
      <c r="C5" s="90" t="s">
        <v>178</v>
      </c>
      <c r="D5" s="86" t="s">
        <v>180</v>
      </c>
      <c r="E5" s="87" t="s">
        <v>430</v>
      </c>
      <c r="F5" s="88" t="s">
        <v>174</v>
      </c>
      <c r="G5" s="89" t="s">
        <v>176</v>
      </c>
      <c r="H5" s="66"/>
      <c r="I5" s="66"/>
    </row>
    <row r="6" spans="1:9" ht="15.6">
      <c r="A6" s="528" t="s">
        <v>720</v>
      </c>
      <c r="B6" s="268" t="s">
        <v>719</v>
      </c>
      <c r="C6" s="84" t="s">
        <v>177</v>
      </c>
      <c r="D6" s="85" t="s">
        <v>179</v>
      </c>
      <c r="E6" s="81" t="s">
        <v>172</v>
      </c>
      <c r="F6" s="82" t="s">
        <v>173</v>
      </c>
      <c r="G6" s="83" t="s">
        <v>175</v>
      </c>
      <c r="H6" s="66"/>
      <c r="I6" s="66"/>
    </row>
    <row r="7" spans="1:9" ht="15.6">
      <c r="A7" s="528"/>
      <c r="B7" s="268" t="s">
        <v>718</v>
      </c>
      <c r="C7" s="89" t="s">
        <v>176</v>
      </c>
      <c r="D7" s="90" t="s">
        <v>178</v>
      </c>
      <c r="E7" s="86" t="s">
        <v>180</v>
      </c>
      <c r="F7" s="87" t="s">
        <v>430</v>
      </c>
      <c r="G7" s="88" t="s">
        <v>174</v>
      </c>
      <c r="H7" s="66"/>
      <c r="I7" s="66"/>
    </row>
    <row r="8" spans="1:9" ht="15.6">
      <c r="A8" s="528" t="s">
        <v>721</v>
      </c>
      <c r="B8" s="268" t="s">
        <v>718</v>
      </c>
      <c r="C8" s="83" t="s">
        <v>175</v>
      </c>
      <c r="D8" s="84" t="s">
        <v>177</v>
      </c>
      <c r="E8" s="85" t="s">
        <v>179</v>
      </c>
      <c r="F8" s="81" t="s">
        <v>172</v>
      </c>
      <c r="G8" s="82" t="s">
        <v>173</v>
      </c>
      <c r="H8" s="66"/>
      <c r="I8" s="66"/>
    </row>
    <row r="9" spans="1:9" ht="15.6">
      <c r="A9" s="528"/>
      <c r="B9" s="269" t="s">
        <v>722</v>
      </c>
      <c r="C9" s="88" t="s">
        <v>174</v>
      </c>
      <c r="D9" s="89" t="s">
        <v>176</v>
      </c>
      <c r="E9" s="90" t="s">
        <v>178</v>
      </c>
      <c r="F9" s="86" t="s">
        <v>180</v>
      </c>
      <c r="G9" s="87" t="s">
        <v>430</v>
      </c>
      <c r="H9" s="66"/>
      <c r="I9" s="66"/>
    </row>
    <row r="10" spans="1:9" ht="15.6">
      <c r="A10" s="528" t="s">
        <v>723</v>
      </c>
      <c r="B10" s="527" t="s">
        <v>724</v>
      </c>
      <c r="C10" s="82" t="s">
        <v>173</v>
      </c>
      <c r="D10" s="83" t="s">
        <v>175</v>
      </c>
      <c r="E10" s="84" t="s">
        <v>177</v>
      </c>
      <c r="F10" s="85" t="s">
        <v>179</v>
      </c>
      <c r="G10" s="81" t="s">
        <v>172</v>
      </c>
      <c r="H10" s="66"/>
      <c r="I10" s="66"/>
    </row>
    <row r="11" spans="1:9" ht="15.6">
      <c r="A11" s="528"/>
      <c r="B11" s="527"/>
      <c r="C11" s="87" t="s">
        <v>430</v>
      </c>
      <c r="D11" s="88" t="s">
        <v>174</v>
      </c>
      <c r="E11" s="89" t="s">
        <v>176</v>
      </c>
      <c r="F11" s="90" t="s">
        <v>178</v>
      </c>
      <c r="G11" s="86" t="s">
        <v>180</v>
      </c>
      <c r="H11" s="66"/>
      <c r="I11" s="66"/>
    </row>
  </sheetData>
  <mergeCells count="6">
    <mergeCell ref="B10:B11"/>
    <mergeCell ref="A10:A11"/>
    <mergeCell ref="A2:A3"/>
    <mergeCell ref="A4:A5"/>
    <mergeCell ref="A6:A7"/>
    <mergeCell ref="A8:A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3E5C-FAC7-459F-8F6F-FDA9CE08BA12}">
  <sheetPr>
    <tabColor rgb="FF92D050"/>
  </sheetPr>
  <dimension ref="A1:G23"/>
  <sheetViews>
    <sheetView zoomScale="70" zoomScaleNormal="70" workbookViewId="0"/>
  </sheetViews>
  <sheetFormatPr defaultColWidth="10.85546875" defaultRowHeight="14.45"/>
  <cols>
    <col min="1" max="1" width="16.7109375" style="2" customWidth="1"/>
    <col min="2" max="2" width="10.85546875" style="2"/>
    <col min="3" max="3" width="12.140625" style="2" bestFit="1" customWidth="1"/>
    <col min="4" max="7" width="16.85546875" style="1" customWidth="1"/>
    <col min="8" max="16384" width="10.85546875" style="2"/>
  </cols>
  <sheetData>
    <row r="1" spans="1:7">
      <c r="A1" s="530" t="s">
        <v>725</v>
      </c>
      <c r="B1" s="530"/>
      <c r="C1" s="530"/>
      <c r="D1" s="530"/>
      <c r="E1" s="530"/>
      <c r="F1" s="530"/>
      <c r="G1" s="530"/>
    </row>
    <row r="2" spans="1:7">
      <c r="A2" s="530" t="s">
        <v>156</v>
      </c>
      <c r="B2" s="530"/>
      <c r="C2" s="530"/>
      <c r="D2" s="530"/>
      <c r="E2" s="530"/>
      <c r="F2" s="530"/>
      <c r="G2" s="530"/>
    </row>
    <row r="3" spans="1:7">
      <c r="A3" s="14" t="s">
        <v>726</v>
      </c>
      <c r="B3" s="14" t="s">
        <v>727</v>
      </c>
      <c r="C3" s="14" t="s">
        <v>728</v>
      </c>
      <c r="D3" s="14" t="s">
        <v>729</v>
      </c>
      <c r="E3" s="14" t="s">
        <v>730</v>
      </c>
      <c r="F3" s="14" t="s">
        <v>731</v>
      </c>
      <c r="G3" s="14" t="s">
        <v>732</v>
      </c>
    </row>
    <row r="4" spans="1:7" ht="29.1">
      <c r="A4" s="529" t="s">
        <v>733</v>
      </c>
      <c r="B4" s="531" t="s">
        <v>734</v>
      </c>
      <c r="C4" s="257" t="s">
        <v>735</v>
      </c>
      <c r="D4" s="258"/>
      <c r="E4" s="258"/>
      <c r="F4" s="258" t="s">
        <v>736</v>
      </c>
      <c r="G4" s="258" t="s">
        <v>736</v>
      </c>
    </row>
    <row r="5" spans="1:7" ht="27.95" customHeight="1">
      <c r="A5" s="529"/>
      <c r="B5" s="531"/>
      <c r="C5" s="533" t="s">
        <v>737</v>
      </c>
      <c r="D5" s="258"/>
      <c r="E5" s="258" t="s">
        <v>738</v>
      </c>
      <c r="F5" s="258"/>
      <c r="G5" s="258"/>
    </row>
    <row r="6" spans="1:7" ht="27.95" customHeight="1">
      <c r="A6" s="529"/>
      <c r="B6" s="531"/>
      <c r="C6" s="534"/>
      <c r="D6" s="258"/>
      <c r="E6" s="258" t="s">
        <v>739</v>
      </c>
      <c r="F6" s="258"/>
      <c r="G6" s="258"/>
    </row>
    <row r="7" spans="1:7" ht="29.1">
      <c r="A7" s="529"/>
      <c r="B7" s="531"/>
      <c r="C7" s="257" t="s">
        <v>740</v>
      </c>
      <c r="D7" s="258" t="s">
        <v>741</v>
      </c>
      <c r="E7" s="258"/>
      <c r="F7" s="258" t="s">
        <v>742</v>
      </c>
      <c r="G7" s="258" t="s">
        <v>743</v>
      </c>
    </row>
    <row r="8" spans="1:7" ht="29.1">
      <c r="A8" s="529"/>
      <c r="B8" s="532" t="s">
        <v>586</v>
      </c>
      <c r="C8" s="202" t="s">
        <v>735</v>
      </c>
      <c r="D8" s="253" t="s">
        <v>744</v>
      </c>
      <c r="E8" s="253"/>
      <c r="F8" s="253"/>
      <c r="G8" s="253"/>
    </row>
    <row r="9" spans="1:7">
      <c r="A9" s="529"/>
      <c r="B9" s="532"/>
      <c r="C9" s="202" t="s">
        <v>740</v>
      </c>
      <c r="D9" s="253"/>
      <c r="E9" s="253"/>
      <c r="F9" s="253"/>
      <c r="G9" s="253"/>
    </row>
    <row r="10" spans="1:7">
      <c r="A10" s="529" t="s">
        <v>404</v>
      </c>
      <c r="B10" s="531" t="s">
        <v>734</v>
      </c>
      <c r="C10" s="257" t="s">
        <v>745</v>
      </c>
      <c r="D10" s="258" t="s">
        <v>746</v>
      </c>
      <c r="E10" s="258" t="s">
        <v>746</v>
      </c>
      <c r="F10" s="258" t="s">
        <v>746</v>
      </c>
      <c r="G10" s="258" t="s">
        <v>746</v>
      </c>
    </row>
    <row r="11" spans="1:7" ht="29.1">
      <c r="A11" s="529"/>
      <c r="B11" s="531"/>
      <c r="C11" s="257" t="s">
        <v>737</v>
      </c>
      <c r="D11" s="258" t="s">
        <v>747</v>
      </c>
      <c r="E11" s="258" t="s">
        <v>747</v>
      </c>
      <c r="F11" s="258" t="s">
        <v>748</v>
      </c>
      <c r="G11" s="258" t="s">
        <v>749</v>
      </c>
    </row>
    <row r="12" spans="1:7">
      <c r="A12" s="529"/>
      <c r="B12" s="532" t="s">
        <v>586</v>
      </c>
      <c r="C12" s="202" t="s">
        <v>745</v>
      </c>
      <c r="D12" s="253"/>
      <c r="E12" s="253"/>
      <c r="F12" s="253"/>
      <c r="G12" s="253"/>
    </row>
    <row r="13" spans="1:7">
      <c r="A13" s="529"/>
      <c r="B13" s="532"/>
      <c r="C13" s="202" t="s">
        <v>737</v>
      </c>
      <c r="D13" s="253"/>
      <c r="E13" s="253"/>
      <c r="F13" s="253"/>
      <c r="G13" s="253"/>
    </row>
    <row r="14" spans="1:7">
      <c r="A14" s="529" t="s">
        <v>750</v>
      </c>
      <c r="B14" s="531" t="s">
        <v>734</v>
      </c>
      <c r="C14" s="257" t="s">
        <v>745</v>
      </c>
      <c r="D14" s="258" t="s">
        <v>751</v>
      </c>
      <c r="E14" s="258" t="s">
        <v>751</v>
      </c>
      <c r="F14" s="258" t="s">
        <v>751</v>
      </c>
      <c r="G14" s="258" t="s">
        <v>751</v>
      </c>
    </row>
    <row r="15" spans="1:7" ht="29.1">
      <c r="A15" s="529"/>
      <c r="B15" s="531"/>
      <c r="C15" s="257" t="s">
        <v>737</v>
      </c>
      <c r="D15" s="258" t="s">
        <v>752</v>
      </c>
      <c r="E15" s="258" t="s">
        <v>753</v>
      </c>
      <c r="F15" s="258" t="s">
        <v>753</v>
      </c>
      <c r="G15" s="258" t="s">
        <v>752</v>
      </c>
    </row>
    <row r="16" spans="1:7">
      <c r="A16" s="529"/>
      <c r="B16" s="532" t="s">
        <v>586</v>
      </c>
      <c r="C16" s="202" t="s">
        <v>745</v>
      </c>
      <c r="D16" s="253"/>
      <c r="E16" s="253"/>
      <c r="F16" s="253"/>
      <c r="G16" s="253"/>
    </row>
    <row r="17" spans="1:7">
      <c r="A17" s="529"/>
      <c r="B17" s="532"/>
      <c r="C17" s="202" t="s">
        <v>737</v>
      </c>
      <c r="D17" s="253"/>
      <c r="E17" s="253"/>
      <c r="F17" s="253"/>
      <c r="G17" s="253"/>
    </row>
    <row r="18" spans="1:7" ht="29.1">
      <c r="A18" s="529" t="s">
        <v>754</v>
      </c>
      <c r="B18" s="531" t="s">
        <v>734</v>
      </c>
      <c r="C18" s="257" t="s">
        <v>745</v>
      </c>
      <c r="D18" s="258" t="s">
        <v>755</v>
      </c>
      <c r="E18" s="258" t="s">
        <v>756</v>
      </c>
      <c r="F18" s="258" t="s">
        <v>755</v>
      </c>
      <c r="G18" s="258" t="s">
        <v>756</v>
      </c>
    </row>
    <row r="19" spans="1:7">
      <c r="A19" s="529"/>
      <c r="B19" s="531"/>
      <c r="C19" s="257" t="s">
        <v>757</v>
      </c>
      <c r="D19" s="258" t="s">
        <v>758</v>
      </c>
      <c r="E19" s="258" t="s">
        <v>759</v>
      </c>
      <c r="F19" s="258" t="s">
        <v>760</v>
      </c>
      <c r="G19" s="258" t="s">
        <v>758</v>
      </c>
    </row>
    <row r="20" spans="1:7">
      <c r="A20" s="529"/>
      <c r="B20" s="532" t="s">
        <v>586</v>
      </c>
      <c r="C20" s="202" t="s">
        <v>745</v>
      </c>
      <c r="D20" s="253"/>
      <c r="E20" s="253"/>
      <c r="F20" s="253"/>
      <c r="G20" s="253"/>
    </row>
    <row r="21" spans="1:7">
      <c r="A21" s="529"/>
      <c r="B21" s="532"/>
      <c r="C21" s="202" t="s">
        <v>757</v>
      </c>
      <c r="D21" s="253"/>
      <c r="E21" s="253"/>
      <c r="F21" s="253"/>
      <c r="G21" s="253"/>
    </row>
    <row r="22" spans="1:7" ht="29.1">
      <c r="A22" s="529" t="s">
        <v>761</v>
      </c>
      <c r="B22" s="256" t="s">
        <v>734</v>
      </c>
      <c r="C22" s="257" t="s">
        <v>762</v>
      </c>
      <c r="D22" s="258" t="s">
        <v>763</v>
      </c>
      <c r="E22" s="258" t="s">
        <v>764</v>
      </c>
      <c r="F22" s="258" t="s">
        <v>763</v>
      </c>
      <c r="G22" s="258" t="s">
        <v>765</v>
      </c>
    </row>
    <row r="23" spans="1:7">
      <c r="A23" s="529"/>
      <c r="B23" s="3" t="s">
        <v>586</v>
      </c>
      <c r="C23" s="202" t="s">
        <v>762</v>
      </c>
      <c r="D23" s="253"/>
      <c r="E23" s="253"/>
      <c r="F23" s="253"/>
      <c r="G23" s="253"/>
    </row>
  </sheetData>
  <mergeCells count="16">
    <mergeCell ref="A22:A23"/>
    <mergeCell ref="A1:G1"/>
    <mergeCell ref="A2:G2"/>
    <mergeCell ref="A14:A17"/>
    <mergeCell ref="B14:B15"/>
    <mergeCell ref="B16:B17"/>
    <mergeCell ref="A18:A21"/>
    <mergeCell ref="B18:B19"/>
    <mergeCell ref="B20:B21"/>
    <mergeCell ref="B4:B7"/>
    <mergeCell ref="B8:B9"/>
    <mergeCell ref="A4:A9"/>
    <mergeCell ref="A10:A13"/>
    <mergeCell ref="B10:B11"/>
    <mergeCell ref="B12:B13"/>
    <mergeCell ref="C5:C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EB90-570B-4BF7-BB72-A0AA22967B1F}">
  <sheetPr>
    <tabColor rgb="FFFFFF00"/>
  </sheetPr>
  <dimension ref="A1:M60"/>
  <sheetViews>
    <sheetView topLeftCell="A27" zoomScaleNormal="100" workbookViewId="0">
      <selection activeCell="M55" sqref="M55"/>
    </sheetView>
  </sheetViews>
  <sheetFormatPr defaultColWidth="11.42578125" defaultRowHeight="15" customHeight="1"/>
  <cols>
    <col min="1" max="1" width="7.7109375" style="13" bestFit="1" customWidth="1"/>
    <col min="2" max="2" width="6.5703125" style="13" bestFit="1" customWidth="1"/>
    <col min="3" max="3" width="6.5703125" style="13" customWidth="1"/>
    <col min="4" max="4" width="10.42578125" style="13" customWidth="1"/>
    <col min="5" max="5" width="38.85546875" customWidth="1"/>
    <col min="6" max="6" width="13.5703125" style="13" customWidth="1"/>
    <col min="7" max="7" width="15.5703125" style="13" customWidth="1"/>
    <col min="8" max="8" width="41" bestFit="1" customWidth="1"/>
    <col min="9" max="9" width="15.42578125" customWidth="1"/>
    <col min="260" max="260" width="8" bestFit="1" customWidth="1"/>
    <col min="261" max="261" width="26.42578125" bestFit="1" customWidth="1"/>
    <col min="262" max="262" width="19.42578125" bestFit="1" customWidth="1"/>
    <col min="263" max="263" width="35.28515625" bestFit="1" customWidth="1"/>
    <col min="264" max="264" width="32.42578125" bestFit="1" customWidth="1"/>
    <col min="516" max="516" width="8" bestFit="1" customWidth="1"/>
    <col min="517" max="517" width="26.42578125" bestFit="1" customWidth="1"/>
    <col min="518" max="518" width="19.42578125" bestFit="1" customWidth="1"/>
    <col min="519" max="519" width="35.28515625" bestFit="1" customWidth="1"/>
    <col min="520" max="520" width="32.42578125" bestFit="1" customWidth="1"/>
    <col min="772" max="772" width="8" bestFit="1" customWidth="1"/>
    <col min="773" max="773" width="26.42578125" bestFit="1" customWidth="1"/>
    <col min="774" max="774" width="19.42578125" bestFit="1" customWidth="1"/>
    <col min="775" max="775" width="35.28515625" bestFit="1" customWidth="1"/>
    <col min="776" max="776" width="32.42578125" bestFit="1" customWidth="1"/>
    <col min="1028" max="1028" width="8" bestFit="1" customWidth="1"/>
    <col min="1029" max="1029" width="26.42578125" bestFit="1" customWidth="1"/>
    <col min="1030" max="1030" width="19.42578125" bestFit="1" customWidth="1"/>
    <col min="1031" max="1031" width="35.28515625" bestFit="1" customWidth="1"/>
    <col min="1032" max="1032" width="32.42578125" bestFit="1" customWidth="1"/>
    <col min="1284" max="1284" width="8" bestFit="1" customWidth="1"/>
    <col min="1285" max="1285" width="26.42578125" bestFit="1" customWidth="1"/>
    <col min="1286" max="1286" width="19.42578125" bestFit="1" customWidth="1"/>
    <col min="1287" max="1287" width="35.28515625" bestFit="1" customWidth="1"/>
    <col min="1288" max="1288" width="32.42578125" bestFit="1" customWidth="1"/>
    <col min="1540" max="1540" width="8" bestFit="1" customWidth="1"/>
    <col min="1541" max="1541" width="26.42578125" bestFit="1" customWidth="1"/>
    <col min="1542" max="1542" width="19.42578125" bestFit="1" customWidth="1"/>
    <col min="1543" max="1543" width="35.28515625" bestFit="1" customWidth="1"/>
    <col min="1544" max="1544" width="32.42578125" bestFit="1" customWidth="1"/>
    <col min="1796" max="1796" width="8" bestFit="1" customWidth="1"/>
    <col min="1797" max="1797" width="26.42578125" bestFit="1" customWidth="1"/>
    <col min="1798" max="1798" width="19.42578125" bestFit="1" customWidth="1"/>
    <col min="1799" max="1799" width="35.28515625" bestFit="1" customWidth="1"/>
    <col min="1800" max="1800" width="32.42578125" bestFit="1" customWidth="1"/>
    <col min="2052" max="2052" width="8" bestFit="1" customWidth="1"/>
    <col min="2053" max="2053" width="26.42578125" bestFit="1" customWidth="1"/>
    <col min="2054" max="2054" width="19.42578125" bestFit="1" customWidth="1"/>
    <col min="2055" max="2055" width="35.28515625" bestFit="1" customWidth="1"/>
    <col min="2056" max="2056" width="32.42578125" bestFit="1" customWidth="1"/>
    <col min="2308" max="2308" width="8" bestFit="1" customWidth="1"/>
    <col min="2309" max="2309" width="26.42578125" bestFit="1" customWidth="1"/>
    <col min="2310" max="2310" width="19.42578125" bestFit="1" customWidth="1"/>
    <col min="2311" max="2311" width="35.28515625" bestFit="1" customWidth="1"/>
    <col min="2312" max="2312" width="32.42578125" bestFit="1" customWidth="1"/>
    <col min="2564" max="2564" width="8" bestFit="1" customWidth="1"/>
    <col min="2565" max="2565" width="26.42578125" bestFit="1" customWidth="1"/>
    <col min="2566" max="2566" width="19.42578125" bestFit="1" customWidth="1"/>
    <col min="2567" max="2567" width="35.28515625" bestFit="1" customWidth="1"/>
    <col min="2568" max="2568" width="32.42578125" bestFit="1" customWidth="1"/>
    <col min="2820" max="2820" width="8" bestFit="1" customWidth="1"/>
    <col min="2821" max="2821" width="26.42578125" bestFit="1" customWidth="1"/>
    <col min="2822" max="2822" width="19.42578125" bestFit="1" customWidth="1"/>
    <col min="2823" max="2823" width="35.28515625" bestFit="1" customWidth="1"/>
    <col min="2824" max="2824" width="32.42578125" bestFit="1" customWidth="1"/>
    <col min="3076" max="3076" width="8" bestFit="1" customWidth="1"/>
    <col min="3077" max="3077" width="26.42578125" bestFit="1" customWidth="1"/>
    <col min="3078" max="3078" width="19.42578125" bestFit="1" customWidth="1"/>
    <col min="3079" max="3079" width="35.28515625" bestFit="1" customWidth="1"/>
    <col min="3080" max="3080" width="32.42578125" bestFit="1" customWidth="1"/>
    <col min="3332" max="3332" width="8" bestFit="1" customWidth="1"/>
    <col min="3333" max="3333" width="26.42578125" bestFit="1" customWidth="1"/>
    <col min="3334" max="3334" width="19.42578125" bestFit="1" customWidth="1"/>
    <col min="3335" max="3335" width="35.28515625" bestFit="1" customWidth="1"/>
    <col min="3336" max="3336" width="32.42578125" bestFit="1" customWidth="1"/>
    <col min="3588" max="3588" width="8" bestFit="1" customWidth="1"/>
    <col min="3589" max="3589" width="26.42578125" bestFit="1" customWidth="1"/>
    <col min="3590" max="3590" width="19.42578125" bestFit="1" customWidth="1"/>
    <col min="3591" max="3591" width="35.28515625" bestFit="1" customWidth="1"/>
    <col min="3592" max="3592" width="32.42578125" bestFit="1" customWidth="1"/>
    <col min="3844" max="3844" width="8" bestFit="1" customWidth="1"/>
    <col min="3845" max="3845" width="26.42578125" bestFit="1" customWidth="1"/>
    <col min="3846" max="3846" width="19.42578125" bestFit="1" customWidth="1"/>
    <col min="3847" max="3847" width="35.28515625" bestFit="1" customWidth="1"/>
    <col min="3848" max="3848" width="32.42578125" bestFit="1" customWidth="1"/>
    <col min="4100" max="4100" width="8" bestFit="1" customWidth="1"/>
    <col min="4101" max="4101" width="26.42578125" bestFit="1" customWidth="1"/>
    <col min="4102" max="4102" width="19.42578125" bestFit="1" customWidth="1"/>
    <col min="4103" max="4103" width="35.28515625" bestFit="1" customWidth="1"/>
    <col min="4104" max="4104" width="32.42578125" bestFit="1" customWidth="1"/>
    <col min="4356" max="4356" width="8" bestFit="1" customWidth="1"/>
    <col min="4357" max="4357" width="26.42578125" bestFit="1" customWidth="1"/>
    <col min="4358" max="4358" width="19.42578125" bestFit="1" customWidth="1"/>
    <col min="4359" max="4359" width="35.28515625" bestFit="1" customWidth="1"/>
    <col min="4360" max="4360" width="32.42578125" bestFit="1" customWidth="1"/>
    <col min="4612" max="4612" width="8" bestFit="1" customWidth="1"/>
    <col min="4613" max="4613" width="26.42578125" bestFit="1" customWidth="1"/>
    <col min="4614" max="4614" width="19.42578125" bestFit="1" customWidth="1"/>
    <col min="4615" max="4615" width="35.28515625" bestFit="1" customWidth="1"/>
    <col min="4616" max="4616" width="32.42578125" bestFit="1" customWidth="1"/>
    <col min="4868" max="4868" width="8" bestFit="1" customWidth="1"/>
    <col min="4869" max="4869" width="26.42578125" bestFit="1" customWidth="1"/>
    <col min="4870" max="4870" width="19.42578125" bestFit="1" customWidth="1"/>
    <col min="4871" max="4871" width="35.28515625" bestFit="1" customWidth="1"/>
    <col min="4872" max="4872" width="32.42578125" bestFit="1" customWidth="1"/>
    <col min="5124" max="5124" width="8" bestFit="1" customWidth="1"/>
    <col min="5125" max="5125" width="26.42578125" bestFit="1" customWidth="1"/>
    <col min="5126" max="5126" width="19.42578125" bestFit="1" customWidth="1"/>
    <col min="5127" max="5127" width="35.28515625" bestFit="1" customWidth="1"/>
    <col min="5128" max="5128" width="32.42578125" bestFit="1" customWidth="1"/>
    <col min="5380" max="5380" width="8" bestFit="1" customWidth="1"/>
    <col min="5381" max="5381" width="26.42578125" bestFit="1" customWidth="1"/>
    <col min="5382" max="5382" width="19.42578125" bestFit="1" customWidth="1"/>
    <col min="5383" max="5383" width="35.28515625" bestFit="1" customWidth="1"/>
    <col min="5384" max="5384" width="32.42578125" bestFit="1" customWidth="1"/>
    <col min="5636" max="5636" width="8" bestFit="1" customWidth="1"/>
    <col min="5637" max="5637" width="26.42578125" bestFit="1" customWidth="1"/>
    <col min="5638" max="5638" width="19.42578125" bestFit="1" customWidth="1"/>
    <col min="5639" max="5639" width="35.28515625" bestFit="1" customWidth="1"/>
    <col min="5640" max="5640" width="32.42578125" bestFit="1" customWidth="1"/>
    <col min="5892" max="5892" width="8" bestFit="1" customWidth="1"/>
    <col min="5893" max="5893" width="26.42578125" bestFit="1" customWidth="1"/>
    <col min="5894" max="5894" width="19.42578125" bestFit="1" customWidth="1"/>
    <col min="5895" max="5895" width="35.28515625" bestFit="1" customWidth="1"/>
    <col min="5896" max="5896" width="32.42578125" bestFit="1" customWidth="1"/>
    <col min="6148" max="6148" width="8" bestFit="1" customWidth="1"/>
    <col min="6149" max="6149" width="26.42578125" bestFit="1" customWidth="1"/>
    <col min="6150" max="6150" width="19.42578125" bestFit="1" customWidth="1"/>
    <col min="6151" max="6151" width="35.28515625" bestFit="1" customWidth="1"/>
    <col min="6152" max="6152" width="32.42578125" bestFit="1" customWidth="1"/>
    <col min="6404" max="6404" width="8" bestFit="1" customWidth="1"/>
    <col min="6405" max="6405" width="26.42578125" bestFit="1" customWidth="1"/>
    <col min="6406" max="6406" width="19.42578125" bestFit="1" customWidth="1"/>
    <col min="6407" max="6407" width="35.28515625" bestFit="1" customWidth="1"/>
    <col min="6408" max="6408" width="32.42578125" bestFit="1" customWidth="1"/>
    <col min="6660" max="6660" width="8" bestFit="1" customWidth="1"/>
    <col min="6661" max="6661" width="26.42578125" bestFit="1" customWidth="1"/>
    <col min="6662" max="6662" width="19.42578125" bestFit="1" customWidth="1"/>
    <col min="6663" max="6663" width="35.28515625" bestFit="1" customWidth="1"/>
    <col min="6664" max="6664" width="32.42578125" bestFit="1" customWidth="1"/>
    <col min="6916" max="6916" width="8" bestFit="1" customWidth="1"/>
    <col min="6917" max="6917" width="26.42578125" bestFit="1" customWidth="1"/>
    <col min="6918" max="6918" width="19.42578125" bestFit="1" customWidth="1"/>
    <col min="6919" max="6919" width="35.28515625" bestFit="1" customWidth="1"/>
    <col min="6920" max="6920" width="32.42578125" bestFit="1" customWidth="1"/>
    <col min="7172" max="7172" width="8" bestFit="1" customWidth="1"/>
    <col min="7173" max="7173" width="26.42578125" bestFit="1" customWidth="1"/>
    <col min="7174" max="7174" width="19.42578125" bestFit="1" customWidth="1"/>
    <col min="7175" max="7175" width="35.28515625" bestFit="1" customWidth="1"/>
    <col min="7176" max="7176" width="32.42578125" bestFit="1" customWidth="1"/>
    <col min="7428" max="7428" width="8" bestFit="1" customWidth="1"/>
    <col min="7429" max="7429" width="26.42578125" bestFit="1" customWidth="1"/>
    <col min="7430" max="7430" width="19.42578125" bestFit="1" customWidth="1"/>
    <col min="7431" max="7431" width="35.28515625" bestFit="1" customWidth="1"/>
    <col min="7432" max="7432" width="32.42578125" bestFit="1" customWidth="1"/>
    <col min="7684" max="7684" width="8" bestFit="1" customWidth="1"/>
    <col min="7685" max="7685" width="26.42578125" bestFit="1" customWidth="1"/>
    <col min="7686" max="7686" width="19.42578125" bestFit="1" customWidth="1"/>
    <col min="7687" max="7687" width="35.28515625" bestFit="1" customWidth="1"/>
    <col min="7688" max="7688" width="32.42578125" bestFit="1" customWidth="1"/>
    <col min="7940" max="7940" width="8" bestFit="1" customWidth="1"/>
    <col min="7941" max="7941" width="26.42578125" bestFit="1" customWidth="1"/>
    <col min="7942" max="7942" width="19.42578125" bestFit="1" customWidth="1"/>
    <col min="7943" max="7943" width="35.28515625" bestFit="1" customWidth="1"/>
    <col min="7944" max="7944" width="32.42578125" bestFit="1" customWidth="1"/>
    <col min="8196" max="8196" width="8" bestFit="1" customWidth="1"/>
    <col min="8197" max="8197" width="26.42578125" bestFit="1" customWidth="1"/>
    <col min="8198" max="8198" width="19.42578125" bestFit="1" customWidth="1"/>
    <col min="8199" max="8199" width="35.28515625" bestFit="1" customWidth="1"/>
    <col min="8200" max="8200" width="32.42578125" bestFit="1" customWidth="1"/>
    <col min="8452" max="8452" width="8" bestFit="1" customWidth="1"/>
    <col min="8453" max="8453" width="26.42578125" bestFit="1" customWidth="1"/>
    <col min="8454" max="8454" width="19.42578125" bestFit="1" customWidth="1"/>
    <col min="8455" max="8455" width="35.28515625" bestFit="1" customWidth="1"/>
    <col min="8456" max="8456" width="32.42578125" bestFit="1" customWidth="1"/>
    <col min="8708" max="8708" width="8" bestFit="1" customWidth="1"/>
    <col min="8709" max="8709" width="26.42578125" bestFit="1" customWidth="1"/>
    <col min="8710" max="8710" width="19.42578125" bestFit="1" customWidth="1"/>
    <col min="8711" max="8711" width="35.28515625" bestFit="1" customWidth="1"/>
    <col min="8712" max="8712" width="32.42578125" bestFit="1" customWidth="1"/>
    <col min="8964" max="8964" width="8" bestFit="1" customWidth="1"/>
    <col min="8965" max="8965" width="26.42578125" bestFit="1" customWidth="1"/>
    <col min="8966" max="8966" width="19.42578125" bestFit="1" customWidth="1"/>
    <col min="8967" max="8967" width="35.28515625" bestFit="1" customWidth="1"/>
    <col min="8968" max="8968" width="32.42578125" bestFit="1" customWidth="1"/>
    <col min="9220" max="9220" width="8" bestFit="1" customWidth="1"/>
    <col min="9221" max="9221" width="26.42578125" bestFit="1" customWidth="1"/>
    <col min="9222" max="9222" width="19.42578125" bestFit="1" customWidth="1"/>
    <col min="9223" max="9223" width="35.28515625" bestFit="1" customWidth="1"/>
    <col min="9224" max="9224" width="32.42578125" bestFit="1" customWidth="1"/>
    <col min="9476" max="9476" width="8" bestFit="1" customWidth="1"/>
    <col min="9477" max="9477" width="26.42578125" bestFit="1" customWidth="1"/>
    <col min="9478" max="9478" width="19.42578125" bestFit="1" customWidth="1"/>
    <col min="9479" max="9479" width="35.28515625" bestFit="1" customWidth="1"/>
    <col min="9480" max="9480" width="32.42578125" bestFit="1" customWidth="1"/>
    <col min="9732" max="9732" width="8" bestFit="1" customWidth="1"/>
    <col min="9733" max="9733" width="26.42578125" bestFit="1" customWidth="1"/>
    <col min="9734" max="9734" width="19.42578125" bestFit="1" customWidth="1"/>
    <col min="9735" max="9735" width="35.28515625" bestFit="1" customWidth="1"/>
    <col min="9736" max="9736" width="32.42578125" bestFit="1" customWidth="1"/>
    <col min="9988" max="9988" width="8" bestFit="1" customWidth="1"/>
    <col min="9989" max="9989" width="26.42578125" bestFit="1" customWidth="1"/>
    <col min="9990" max="9990" width="19.42578125" bestFit="1" customWidth="1"/>
    <col min="9991" max="9991" width="35.28515625" bestFit="1" customWidth="1"/>
    <col min="9992" max="9992" width="32.42578125" bestFit="1" customWidth="1"/>
    <col min="10244" max="10244" width="8" bestFit="1" customWidth="1"/>
    <col min="10245" max="10245" width="26.42578125" bestFit="1" customWidth="1"/>
    <col min="10246" max="10246" width="19.42578125" bestFit="1" customWidth="1"/>
    <col min="10247" max="10247" width="35.28515625" bestFit="1" customWidth="1"/>
    <col min="10248" max="10248" width="32.42578125" bestFit="1" customWidth="1"/>
    <col min="10500" max="10500" width="8" bestFit="1" customWidth="1"/>
    <col min="10501" max="10501" width="26.42578125" bestFit="1" customWidth="1"/>
    <col min="10502" max="10502" width="19.42578125" bestFit="1" customWidth="1"/>
    <col min="10503" max="10503" width="35.28515625" bestFit="1" customWidth="1"/>
    <col min="10504" max="10504" width="32.42578125" bestFit="1" customWidth="1"/>
    <col min="10756" max="10756" width="8" bestFit="1" customWidth="1"/>
    <col min="10757" max="10757" width="26.42578125" bestFit="1" customWidth="1"/>
    <col min="10758" max="10758" width="19.42578125" bestFit="1" customWidth="1"/>
    <col min="10759" max="10759" width="35.28515625" bestFit="1" customWidth="1"/>
    <col min="10760" max="10760" width="32.42578125" bestFit="1" customWidth="1"/>
    <col min="11012" max="11012" width="8" bestFit="1" customWidth="1"/>
    <col min="11013" max="11013" width="26.42578125" bestFit="1" customWidth="1"/>
    <col min="11014" max="11014" width="19.42578125" bestFit="1" customWidth="1"/>
    <col min="11015" max="11015" width="35.28515625" bestFit="1" customWidth="1"/>
    <col min="11016" max="11016" width="32.42578125" bestFit="1" customWidth="1"/>
    <col min="11268" max="11268" width="8" bestFit="1" customWidth="1"/>
    <col min="11269" max="11269" width="26.42578125" bestFit="1" customWidth="1"/>
    <col min="11270" max="11270" width="19.42578125" bestFit="1" customWidth="1"/>
    <col min="11271" max="11271" width="35.28515625" bestFit="1" customWidth="1"/>
    <col min="11272" max="11272" width="32.42578125" bestFit="1" customWidth="1"/>
    <col min="11524" max="11524" width="8" bestFit="1" customWidth="1"/>
    <col min="11525" max="11525" width="26.42578125" bestFit="1" customWidth="1"/>
    <col min="11526" max="11526" width="19.42578125" bestFit="1" customWidth="1"/>
    <col min="11527" max="11527" width="35.28515625" bestFit="1" customWidth="1"/>
    <col min="11528" max="11528" width="32.42578125" bestFit="1" customWidth="1"/>
    <col min="11780" max="11780" width="8" bestFit="1" customWidth="1"/>
    <col min="11781" max="11781" width="26.42578125" bestFit="1" customWidth="1"/>
    <col min="11782" max="11782" width="19.42578125" bestFit="1" customWidth="1"/>
    <col min="11783" max="11783" width="35.28515625" bestFit="1" customWidth="1"/>
    <col min="11784" max="11784" width="32.42578125" bestFit="1" customWidth="1"/>
    <col min="12036" max="12036" width="8" bestFit="1" customWidth="1"/>
    <col min="12037" max="12037" width="26.42578125" bestFit="1" customWidth="1"/>
    <col min="12038" max="12038" width="19.42578125" bestFit="1" customWidth="1"/>
    <col min="12039" max="12039" width="35.28515625" bestFit="1" customWidth="1"/>
    <col min="12040" max="12040" width="32.42578125" bestFit="1" customWidth="1"/>
    <col min="12292" max="12292" width="8" bestFit="1" customWidth="1"/>
    <col min="12293" max="12293" width="26.42578125" bestFit="1" customWidth="1"/>
    <col min="12294" max="12294" width="19.42578125" bestFit="1" customWidth="1"/>
    <col min="12295" max="12295" width="35.28515625" bestFit="1" customWidth="1"/>
    <col min="12296" max="12296" width="32.42578125" bestFit="1" customWidth="1"/>
    <col min="12548" max="12548" width="8" bestFit="1" customWidth="1"/>
    <col min="12549" max="12549" width="26.42578125" bestFit="1" customWidth="1"/>
    <col min="12550" max="12550" width="19.42578125" bestFit="1" customWidth="1"/>
    <col min="12551" max="12551" width="35.28515625" bestFit="1" customWidth="1"/>
    <col min="12552" max="12552" width="32.42578125" bestFit="1" customWidth="1"/>
    <col min="12804" max="12804" width="8" bestFit="1" customWidth="1"/>
    <col min="12805" max="12805" width="26.42578125" bestFit="1" customWidth="1"/>
    <col min="12806" max="12806" width="19.42578125" bestFit="1" customWidth="1"/>
    <col min="12807" max="12807" width="35.28515625" bestFit="1" customWidth="1"/>
    <col min="12808" max="12808" width="32.42578125" bestFit="1" customWidth="1"/>
    <col min="13060" max="13060" width="8" bestFit="1" customWidth="1"/>
    <col min="13061" max="13061" width="26.42578125" bestFit="1" customWidth="1"/>
    <col min="13062" max="13062" width="19.42578125" bestFit="1" customWidth="1"/>
    <col min="13063" max="13063" width="35.28515625" bestFit="1" customWidth="1"/>
    <col min="13064" max="13064" width="32.42578125" bestFit="1" customWidth="1"/>
    <col min="13316" max="13316" width="8" bestFit="1" customWidth="1"/>
    <col min="13317" max="13317" width="26.42578125" bestFit="1" customWidth="1"/>
    <col min="13318" max="13318" width="19.42578125" bestFit="1" customWidth="1"/>
    <col min="13319" max="13319" width="35.28515625" bestFit="1" customWidth="1"/>
    <col min="13320" max="13320" width="32.42578125" bestFit="1" customWidth="1"/>
    <col min="13572" max="13572" width="8" bestFit="1" customWidth="1"/>
    <col min="13573" max="13573" width="26.42578125" bestFit="1" customWidth="1"/>
    <col min="13574" max="13574" width="19.42578125" bestFit="1" customWidth="1"/>
    <col min="13575" max="13575" width="35.28515625" bestFit="1" customWidth="1"/>
    <col min="13576" max="13576" width="32.42578125" bestFit="1" customWidth="1"/>
    <col min="13828" max="13828" width="8" bestFit="1" customWidth="1"/>
    <col min="13829" max="13829" width="26.42578125" bestFit="1" customWidth="1"/>
    <col min="13830" max="13830" width="19.42578125" bestFit="1" customWidth="1"/>
    <col min="13831" max="13831" width="35.28515625" bestFit="1" customWidth="1"/>
    <col min="13832" max="13832" width="32.42578125" bestFit="1" customWidth="1"/>
    <col min="14084" max="14084" width="8" bestFit="1" customWidth="1"/>
    <col min="14085" max="14085" width="26.42578125" bestFit="1" customWidth="1"/>
    <col min="14086" max="14086" width="19.42578125" bestFit="1" customWidth="1"/>
    <col min="14087" max="14087" width="35.28515625" bestFit="1" customWidth="1"/>
    <col min="14088" max="14088" width="32.42578125" bestFit="1" customWidth="1"/>
    <col min="14340" max="14340" width="8" bestFit="1" customWidth="1"/>
    <col min="14341" max="14341" width="26.42578125" bestFit="1" customWidth="1"/>
    <col min="14342" max="14342" width="19.42578125" bestFit="1" customWidth="1"/>
    <col min="14343" max="14343" width="35.28515625" bestFit="1" customWidth="1"/>
    <col min="14344" max="14344" width="32.42578125" bestFit="1" customWidth="1"/>
    <col min="14596" max="14596" width="8" bestFit="1" customWidth="1"/>
    <col min="14597" max="14597" width="26.42578125" bestFit="1" customWidth="1"/>
    <col min="14598" max="14598" width="19.42578125" bestFit="1" customWidth="1"/>
    <col min="14599" max="14599" width="35.28515625" bestFit="1" customWidth="1"/>
    <col min="14600" max="14600" width="32.42578125" bestFit="1" customWidth="1"/>
    <col min="14852" max="14852" width="8" bestFit="1" customWidth="1"/>
    <col min="14853" max="14853" width="26.42578125" bestFit="1" customWidth="1"/>
    <col min="14854" max="14854" width="19.42578125" bestFit="1" customWidth="1"/>
    <col min="14855" max="14855" width="35.28515625" bestFit="1" customWidth="1"/>
    <col min="14856" max="14856" width="32.42578125" bestFit="1" customWidth="1"/>
    <col min="15108" max="15108" width="8" bestFit="1" customWidth="1"/>
    <col min="15109" max="15109" width="26.42578125" bestFit="1" customWidth="1"/>
    <col min="15110" max="15110" width="19.42578125" bestFit="1" customWidth="1"/>
    <col min="15111" max="15111" width="35.28515625" bestFit="1" customWidth="1"/>
    <col min="15112" max="15112" width="32.42578125" bestFit="1" customWidth="1"/>
    <col min="15364" max="15364" width="8" bestFit="1" customWidth="1"/>
    <col min="15365" max="15365" width="26.42578125" bestFit="1" customWidth="1"/>
    <col min="15366" max="15366" width="19.42578125" bestFit="1" customWidth="1"/>
    <col min="15367" max="15367" width="35.28515625" bestFit="1" customWidth="1"/>
    <col min="15368" max="15368" width="32.42578125" bestFit="1" customWidth="1"/>
    <col min="15620" max="15620" width="8" bestFit="1" customWidth="1"/>
    <col min="15621" max="15621" width="26.42578125" bestFit="1" customWidth="1"/>
    <col min="15622" max="15622" width="19.42578125" bestFit="1" customWidth="1"/>
    <col min="15623" max="15623" width="35.28515625" bestFit="1" customWidth="1"/>
    <col min="15624" max="15624" width="32.42578125" bestFit="1" customWidth="1"/>
    <col min="15876" max="15876" width="8" bestFit="1" customWidth="1"/>
    <col min="15877" max="15877" width="26.42578125" bestFit="1" customWidth="1"/>
    <col min="15878" max="15878" width="19.42578125" bestFit="1" customWidth="1"/>
    <col min="15879" max="15879" width="35.28515625" bestFit="1" customWidth="1"/>
    <col min="15880" max="15880" width="32.42578125" bestFit="1" customWidth="1"/>
    <col min="16132" max="16132" width="8" bestFit="1" customWidth="1"/>
    <col min="16133" max="16133" width="26.42578125" bestFit="1" customWidth="1"/>
    <col min="16134" max="16134" width="19.42578125" bestFit="1" customWidth="1"/>
    <col min="16135" max="16135" width="35.28515625" bestFit="1" customWidth="1"/>
    <col min="16136" max="16136" width="32.42578125" bestFit="1" customWidth="1"/>
  </cols>
  <sheetData>
    <row r="1" spans="1:11" s="243" customFormat="1" ht="14.45">
      <c r="A1" s="535" t="s">
        <v>766</v>
      </c>
      <c r="B1" s="563"/>
      <c r="C1" s="563"/>
      <c r="D1" s="536"/>
      <c r="E1" s="536"/>
      <c r="F1" s="536"/>
      <c r="G1" s="536"/>
      <c r="H1" s="537"/>
      <c r="I1" s="19"/>
      <c r="J1" s="538" t="s">
        <v>767</v>
      </c>
      <c r="K1" s="539"/>
    </row>
    <row r="2" spans="1:11" s="243" customFormat="1" ht="15" customHeight="1">
      <c r="A2" s="535" t="s">
        <v>156</v>
      </c>
      <c r="B2" s="563"/>
      <c r="C2" s="563"/>
      <c r="D2" s="536"/>
      <c r="E2" s="536"/>
      <c r="F2" s="536"/>
      <c r="G2" s="536"/>
      <c r="H2" s="537"/>
      <c r="I2" s="19"/>
      <c r="J2" s="538" t="s">
        <v>156</v>
      </c>
      <c r="K2" s="539"/>
    </row>
    <row r="3" spans="1:11" s="243" customFormat="1" ht="34.5" customHeight="1">
      <c r="A3" s="5" t="s">
        <v>768</v>
      </c>
      <c r="B3" s="244" t="s">
        <v>769</v>
      </c>
      <c r="C3" s="244" t="s">
        <v>770</v>
      </c>
      <c r="D3" s="245" t="s">
        <v>771</v>
      </c>
      <c r="E3" s="246" t="s">
        <v>3</v>
      </c>
      <c r="F3" s="245" t="s">
        <v>4</v>
      </c>
      <c r="G3" s="5" t="s">
        <v>5</v>
      </c>
      <c r="H3" s="5" t="s">
        <v>354</v>
      </c>
      <c r="I3" s="247"/>
      <c r="J3" s="11" t="s">
        <v>1</v>
      </c>
      <c r="K3" s="11" t="s">
        <v>355</v>
      </c>
    </row>
    <row r="4" spans="1:11" ht="14.45">
      <c r="A4" s="248">
        <v>1</v>
      </c>
      <c r="B4" s="241" t="s">
        <v>172</v>
      </c>
      <c r="C4" s="241" t="s">
        <v>172</v>
      </c>
      <c r="D4" s="242">
        <v>8962589</v>
      </c>
      <c r="E4" s="17" t="s">
        <v>772</v>
      </c>
      <c r="F4" s="242">
        <v>1116070240</v>
      </c>
      <c r="G4" s="242">
        <v>2327284</v>
      </c>
      <c r="H4" s="17" t="s">
        <v>773</v>
      </c>
      <c r="I4" s="13"/>
      <c r="J4" s="12" t="s">
        <v>172</v>
      </c>
      <c r="K4" s="12">
        <f t="shared" ref="K4:K15" si="0">COUNTIF($B$4:$B$60,J4)</f>
        <v>5</v>
      </c>
    </row>
    <row r="5" spans="1:11" ht="14.45">
      <c r="A5" s="248">
        <v>2</v>
      </c>
      <c r="B5" s="241" t="s">
        <v>172</v>
      </c>
      <c r="C5" s="241" t="s">
        <v>172</v>
      </c>
      <c r="D5" s="242">
        <v>8970685</v>
      </c>
      <c r="E5" s="17" t="s">
        <v>774</v>
      </c>
      <c r="F5" s="242">
        <v>1081052775</v>
      </c>
      <c r="G5" s="242">
        <v>3168214763</v>
      </c>
      <c r="H5" s="17" t="s">
        <v>775</v>
      </c>
      <c r="I5" s="13"/>
      <c r="J5" s="12" t="s">
        <v>180</v>
      </c>
      <c r="K5" s="12">
        <f t="shared" si="0"/>
        <v>5</v>
      </c>
    </row>
    <row r="6" spans="1:11" ht="14.45">
      <c r="A6" s="248">
        <v>3</v>
      </c>
      <c r="B6" s="241" t="s">
        <v>172</v>
      </c>
      <c r="C6" s="241" t="s">
        <v>172</v>
      </c>
      <c r="D6" s="242">
        <v>8966268</v>
      </c>
      <c r="E6" s="17" t="s">
        <v>776</v>
      </c>
      <c r="F6" s="242">
        <v>1005745534</v>
      </c>
      <c r="G6" s="242">
        <v>3104282614</v>
      </c>
      <c r="H6" s="17" t="s">
        <v>777</v>
      </c>
      <c r="I6" s="13"/>
      <c r="J6" s="12" t="s">
        <v>179</v>
      </c>
      <c r="K6" s="12">
        <f t="shared" si="0"/>
        <v>5</v>
      </c>
    </row>
    <row r="7" spans="1:11" ht="14.45">
      <c r="A7" s="248">
        <v>4</v>
      </c>
      <c r="B7" s="241" t="s">
        <v>172</v>
      </c>
      <c r="C7" s="241" t="s">
        <v>172</v>
      </c>
      <c r="D7" s="242">
        <v>8966373</v>
      </c>
      <c r="E7" s="17" t="s">
        <v>778</v>
      </c>
      <c r="F7" s="242">
        <v>1081053214</v>
      </c>
      <c r="G7" s="242">
        <v>7310204</v>
      </c>
      <c r="H7" s="17" t="s">
        <v>779</v>
      </c>
      <c r="I7" s="13"/>
      <c r="J7" s="12" t="s">
        <v>178</v>
      </c>
      <c r="K7" s="12">
        <f t="shared" si="0"/>
        <v>5</v>
      </c>
    </row>
    <row r="8" spans="1:11" ht="14.45">
      <c r="A8" s="248">
        <v>5</v>
      </c>
      <c r="B8" s="241" t="s">
        <v>172</v>
      </c>
      <c r="C8" s="241" t="s">
        <v>172</v>
      </c>
      <c r="D8" s="242">
        <v>8968245</v>
      </c>
      <c r="E8" s="17" t="s">
        <v>780</v>
      </c>
      <c r="F8" s="242">
        <v>1010005352</v>
      </c>
      <c r="G8" s="242">
        <v>2580485</v>
      </c>
      <c r="H8" s="17" t="s">
        <v>781</v>
      </c>
      <c r="I8" s="13"/>
      <c r="J8" s="12" t="s">
        <v>181</v>
      </c>
      <c r="K8" s="12">
        <f t="shared" si="0"/>
        <v>5</v>
      </c>
    </row>
    <row r="9" spans="1:11" ht="14.45">
      <c r="A9" s="248">
        <v>6</v>
      </c>
      <c r="B9" s="241" t="s">
        <v>180</v>
      </c>
      <c r="C9" s="241" t="s">
        <v>180</v>
      </c>
      <c r="D9" s="242">
        <v>8962271</v>
      </c>
      <c r="E9" s="17" t="s">
        <v>782</v>
      </c>
      <c r="F9" s="242">
        <v>1044601536</v>
      </c>
      <c r="G9" s="242">
        <v>3470969</v>
      </c>
      <c r="H9" s="17" t="s">
        <v>783</v>
      </c>
      <c r="I9" s="13"/>
      <c r="J9" s="12" t="s">
        <v>189</v>
      </c>
      <c r="K9" s="12">
        <f t="shared" si="0"/>
        <v>5</v>
      </c>
    </row>
    <row r="10" spans="1:11" ht="14.45">
      <c r="A10" s="248">
        <v>7</v>
      </c>
      <c r="B10" s="241" t="s">
        <v>180</v>
      </c>
      <c r="C10" s="241" t="s">
        <v>180</v>
      </c>
      <c r="D10" s="242">
        <v>8966538</v>
      </c>
      <c r="E10" s="17" t="s">
        <v>784</v>
      </c>
      <c r="F10" s="242">
        <v>1005894466</v>
      </c>
      <c r="G10" s="242">
        <v>8937420</v>
      </c>
      <c r="H10" s="17" t="s">
        <v>785</v>
      </c>
      <c r="I10" s="13"/>
      <c r="J10" s="12" t="s">
        <v>188</v>
      </c>
      <c r="K10" s="12">
        <f t="shared" si="0"/>
        <v>5</v>
      </c>
    </row>
    <row r="11" spans="1:11" ht="14.45">
      <c r="A11" s="248">
        <v>8</v>
      </c>
      <c r="B11" s="241" t="s">
        <v>180</v>
      </c>
      <c r="C11" s="241" t="s">
        <v>180</v>
      </c>
      <c r="D11" s="242">
        <v>8961875</v>
      </c>
      <c r="E11" s="17" t="s">
        <v>786</v>
      </c>
      <c r="F11" s="242">
        <v>1005745605</v>
      </c>
      <c r="G11" s="242">
        <v>3168065680</v>
      </c>
      <c r="H11" s="17" t="s">
        <v>787</v>
      </c>
      <c r="I11" s="13"/>
      <c r="J11" s="12" t="s">
        <v>187</v>
      </c>
      <c r="K11" s="12">
        <f t="shared" si="0"/>
        <v>5</v>
      </c>
    </row>
    <row r="12" spans="1:11" ht="14.45">
      <c r="A12" s="248">
        <v>9</v>
      </c>
      <c r="B12" s="241" t="s">
        <v>180</v>
      </c>
      <c r="C12" s="241" t="s">
        <v>788</v>
      </c>
      <c r="D12" s="242">
        <v>8967936</v>
      </c>
      <c r="E12" s="17" t="s">
        <v>789</v>
      </c>
      <c r="F12" s="242">
        <v>1097780013</v>
      </c>
      <c r="G12" s="242">
        <v>3447562</v>
      </c>
      <c r="H12" s="17" t="s">
        <v>790</v>
      </c>
      <c r="I12" s="13"/>
      <c r="J12" s="12" t="s">
        <v>791</v>
      </c>
      <c r="K12" s="12">
        <f t="shared" si="0"/>
        <v>5</v>
      </c>
    </row>
    <row r="13" spans="1:11" ht="14.45">
      <c r="A13" s="248">
        <v>10</v>
      </c>
      <c r="B13" s="241" t="s">
        <v>180</v>
      </c>
      <c r="C13" s="241" t="s">
        <v>788</v>
      </c>
      <c r="D13" s="242">
        <v>8959328</v>
      </c>
      <c r="E13" s="17" t="s">
        <v>792</v>
      </c>
      <c r="F13" s="242">
        <v>1005745553</v>
      </c>
      <c r="G13" s="242">
        <v>5501391</v>
      </c>
      <c r="H13" s="17" t="s">
        <v>793</v>
      </c>
      <c r="I13" s="13"/>
      <c r="J13" s="12" t="s">
        <v>794</v>
      </c>
      <c r="K13" s="12">
        <f t="shared" si="0"/>
        <v>4</v>
      </c>
    </row>
    <row r="14" spans="1:11" ht="14.45">
      <c r="A14" s="248">
        <v>11</v>
      </c>
      <c r="B14" s="241" t="s">
        <v>179</v>
      </c>
      <c r="C14" s="241" t="s">
        <v>179</v>
      </c>
      <c r="D14" s="242">
        <v>8970545</v>
      </c>
      <c r="E14" s="17" t="s">
        <v>795</v>
      </c>
      <c r="F14" s="242">
        <v>1005895123</v>
      </c>
      <c r="G14" s="242">
        <v>3217782059</v>
      </c>
      <c r="H14" s="17" t="s">
        <v>796</v>
      </c>
      <c r="I14" s="13"/>
      <c r="J14" s="12" t="s">
        <v>797</v>
      </c>
      <c r="K14" s="12">
        <f t="shared" si="0"/>
        <v>4</v>
      </c>
    </row>
    <row r="15" spans="1:11" ht="14.45">
      <c r="A15" s="248">
        <v>12</v>
      </c>
      <c r="B15" s="241" t="s">
        <v>179</v>
      </c>
      <c r="C15" s="241" t="s">
        <v>179</v>
      </c>
      <c r="D15" s="242">
        <v>8967526</v>
      </c>
      <c r="E15" s="17" t="s">
        <v>798</v>
      </c>
      <c r="F15" s="242">
        <v>1005745476</v>
      </c>
      <c r="G15" s="242">
        <v>3160590208</v>
      </c>
      <c r="H15" s="17" t="s">
        <v>799</v>
      </c>
      <c r="I15" s="13"/>
      <c r="J15" s="12" t="s">
        <v>800</v>
      </c>
      <c r="K15" s="12">
        <f t="shared" si="0"/>
        <v>4</v>
      </c>
    </row>
    <row r="16" spans="1:11" ht="14.45">
      <c r="A16" s="248">
        <v>13</v>
      </c>
      <c r="B16" s="241" t="s">
        <v>179</v>
      </c>
      <c r="C16" s="241" t="s">
        <v>179</v>
      </c>
      <c r="D16" s="242">
        <v>8957816</v>
      </c>
      <c r="E16" s="17" t="s">
        <v>801</v>
      </c>
      <c r="F16" s="242">
        <v>1004234881</v>
      </c>
      <c r="G16" s="242">
        <v>3225466488</v>
      </c>
      <c r="H16" s="17" t="s">
        <v>802</v>
      </c>
      <c r="I16" s="13"/>
      <c r="J16" s="11" t="s">
        <v>59</v>
      </c>
      <c r="K16" s="11">
        <f>SUM(K4:K15)</f>
        <v>57</v>
      </c>
    </row>
    <row r="17" spans="1:9" ht="14.45">
      <c r="A17" s="248">
        <v>14</v>
      </c>
      <c r="B17" s="241" t="s">
        <v>179</v>
      </c>
      <c r="C17" s="241" t="s">
        <v>179</v>
      </c>
      <c r="D17" s="242">
        <v>8972113</v>
      </c>
      <c r="E17" s="17" t="s">
        <v>803</v>
      </c>
      <c r="F17" s="242">
        <v>1061687036</v>
      </c>
      <c r="G17" s="242">
        <v>3160429760</v>
      </c>
      <c r="H17" s="17" t="s">
        <v>804</v>
      </c>
      <c r="I17" s="13"/>
    </row>
    <row r="18" spans="1:9" ht="14.45">
      <c r="A18" s="248">
        <v>15</v>
      </c>
      <c r="B18" s="241" t="s">
        <v>179</v>
      </c>
      <c r="C18" s="241" t="s">
        <v>179</v>
      </c>
      <c r="D18" s="242">
        <v>8967184</v>
      </c>
      <c r="E18" s="17" t="s">
        <v>805</v>
      </c>
      <c r="F18" s="242">
        <v>1000697207</v>
      </c>
      <c r="G18" s="242">
        <v>3003434565</v>
      </c>
      <c r="H18" s="17" t="s">
        <v>806</v>
      </c>
      <c r="I18" s="13"/>
    </row>
    <row r="19" spans="1:9" ht="14.45">
      <c r="A19" s="248">
        <v>16</v>
      </c>
      <c r="B19" s="241" t="s">
        <v>178</v>
      </c>
      <c r="C19" s="241" t="s">
        <v>178</v>
      </c>
      <c r="D19" s="242">
        <v>8965946</v>
      </c>
      <c r="E19" s="17" t="s">
        <v>807</v>
      </c>
      <c r="F19" s="242">
        <v>1081273115</v>
      </c>
      <c r="G19" s="242">
        <v>3117347343</v>
      </c>
      <c r="H19" s="17" t="s">
        <v>808</v>
      </c>
      <c r="I19" s="249"/>
    </row>
    <row r="20" spans="1:9" ht="14.45">
      <c r="A20" s="248">
        <v>17</v>
      </c>
      <c r="B20" s="241" t="s">
        <v>178</v>
      </c>
      <c r="C20" s="241" t="s">
        <v>178</v>
      </c>
      <c r="D20" s="242">
        <v>8967016</v>
      </c>
      <c r="E20" s="17" t="s">
        <v>809</v>
      </c>
      <c r="F20" s="242">
        <v>1006098525</v>
      </c>
      <c r="G20" s="242">
        <v>5501347</v>
      </c>
      <c r="H20" s="17" t="s">
        <v>810</v>
      </c>
      <c r="I20" s="13"/>
    </row>
    <row r="21" spans="1:9" ht="14.45">
      <c r="A21" s="248">
        <v>18</v>
      </c>
      <c r="B21" s="241" t="s">
        <v>178</v>
      </c>
      <c r="C21" s="241" t="s">
        <v>178</v>
      </c>
      <c r="D21" s="242">
        <v>8955283</v>
      </c>
      <c r="E21" s="17" t="s">
        <v>811</v>
      </c>
      <c r="F21" s="242">
        <v>1007549963</v>
      </c>
      <c r="G21" s="242">
        <v>3183385390</v>
      </c>
      <c r="H21" s="17" t="s">
        <v>812</v>
      </c>
      <c r="I21" s="13"/>
    </row>
    <row r="22" spans="1:9" ht="14.45">
      <c r="A22" s="248">
        <v>19</v>
      </c>
      <c r="B22" s="241" t="s">
        <v>178</v>
      </c>
      <c r="C22" s="241" t="s">
        <v>813</v>
      </c>
      <c r="D22" s="242">
        <v>8967164</v>
      </c>
      <c r="E22" s="17" t="s">
        <v>814</v>
      </c>
      <c r="F22" s="242">
        <v>1125779929</v>
      </c>
      <c r="G22" s="242">
        <v>3043661296</v>
      </c>
      <c r="H22" s="17" t="s">
        <v>815</v>
      </c>
      <c r="I22" s="13"/>
    </row>
    <row r="23" spans="1:9" ht="14.45">
      <c r="A23" s="248">
        <v>20</v>
      </c>
      <c r="B23" s="241" t="s">
        <v>178</v>
      </c>
      <c r="C23" s="241" t="s">
        <v>813</v>
      </c>
      <c r="D23" s="242">
        <v>8970182</v>
      </c>
      <c r="E23" s="17" t="s">
        <v>816</v>
      </c>
      <c r="F23" s="242">
        <v>1111478670</v>
      </c>
      <c r="G23" s="242">
        <v>3117382608</v>
      </c>
      <c r="H23" s="17" t="s">
        <v>817</v>
      </c>
      <c r="I23" s="13"/>
    </row>
    <row r="24" spans="1:9" ht="14.45">
      <c r="A24" s="248">
        <v>21</v>
      </c>
      <c r="B24" s="241" t="s">
        <v>181</v>
      </c>
      <c r="C24" s="241" t="s">
        <v>181</v>
      </c>
      <c r="D24" s="242">
        <v>8958071</v>
      </c>
      <c r="E24" s="17" t="s">
        <v>818</v>
      </c>
      <c r="F24" s="242">
        <v>1005967015</v>
      </c>
      <c r="G24" s="242">
        <v>4874871</v>
      </c>
      <c r="H24" s="17" t="s">
        <v>819</v>
      </c>
      <c r="I24" s="13"/>
    </row>
    <row r="25" spans="1:9" ht="14.45">
      <c r="A25" s="248">
        <v>22</v>
      </c>
      <c r="B25" s="241" t="s">
        <v>181</v>
      </c>
      <c r="C25" s="241" t="s">
        <v>181</v>
      </c>
      <c r="D25" s="242">
        <v>8966241</v>
      </c>
      <c r="E25" s="17" t="s">
        <v>820</v>
      </c>
      <c r="F25" s="242">
        <v>1005784330</v>
      </c>
      <c r="G25" s="242">
        <v>3183349794</v>
      </c>
      <c r="H25" s="17" t="s">
        <v>821</v>
      </c>
      <c r="I25" s="13"/>
    </row>
    <row r="26" spans="1:9" ht="14.45">
      <c r="A26" s="248">
        <v>23</v>
      </c>
      <c r="B26" s="241" t="s">
        <v>181</v>
      </c>
      <c r="C26" s="241" t="s">
        <v>181</v>
      </c>
      <c r="D26" s="242">
        <v>8944439</v>
      </c>
      <c r="E26" s="17" t="s">
        <v>822</v>
      </c>
      <c r="F26" s="242">
        <v>1083916191</v>
      </c>
      <c r="G26" s="242">
        <v>3177225879</v>
      </c>
      <c r="H26" s="17" t="s">
        <v>823</v>
      </c>
      <c r="I26" s="13"/>
    </row>
    <row r="27" spans="1:9" ht="14.45">
      <c r="A27" s="248">
        <v>24</v>
      </c>
      <c r="B27" s="241" t="s">
        <v>181</v>
      </c>
      <c r="C27" s="241" t="s">
        <v>181</v>
      </c>
      <c r="D27" s="242">
        <v>8956056</v>
      </c>
      <c r="E27" s="17" t="s">
        <v>824</v>
      </c>
      <c r="F27" s="242">
        <v>1018503824</v>
      </c>
      <c r="G27" s="242">
        <v>2875262</v>
      </c>
      <c r="H27" s="17" t="s">
        <v>825</v>
      </c>
      <c r="I27" s="13"/>
    </row>
    <row r="28" spans="1:9" ht="14.45">
      <c r="A28" s="248">
        <v>25</v>
      </c>
      <c r="B28" s="241" t="s">
        <v>181</v>
      </c>
      <c r="C28" s="241" t="s">
        <v>181</v>
      </c>
      <c r="D28" s="242">
        <v>8966177</v>
      </c>
      <c r="E28" s="17" t="s">
        <v>826</v>
      </c>
      <c r="F28" s="242">
        <v>1105360035</v>
      </c>
      <c r="G28" s="242">
        <v>3439618</v>
      </c>
      <c r="H28" s="17" t="s">
        <v>827</v>
      </c>
      <c r="I28" s="13"/>
    </row>
    <row r="29" spans="1:9" ht="14.45">
      <c r="A29" s="248">
        <v>26</v>
      </c>
      <c r="B29" s="241" t="s">
        <v>189</v>
      </c>
      <c r="C29" s="241" t="s">
        <v>189</v>
      </c>
      <c r="D29" s="242">
        <v>8972093</v>
      </c>
      <c r="E29" s="17" t="s">
        <v>828</v>
      </c>
      <c r="F29" s="242">
        <v>1117349275</v>
      </c>
      <c r="G29" s="242">
        <v>7338586</v>
      </c>
      <c r="H29" s="17" t="s">
        <v>829</v>
      </c>
      <c r="I29" s="249"/>
    </row>
    <row r="30" spans="1:9" ht="14.45">
      <c r="A30" s="248">
        <v>27</v>
      </c>
      <c r="B30" s="241" t="s">
        <v>189</v>
      </c>
      <c r="C30" s="241" t="s">
        <v>189</v>
      </c>
      <c r="D30" s="242">
        <v>8958715</v>
      </c>
      <c r="E30" s="17" t="s">
        <v>830</v>
      </c>
      <c r="F30" s="242">
        <v>1193103400</v>
      </c>
      <c r="G30" s="242">
        <v>3184724660</v>
      </c>
      <c r="H30" s="17" t="s">
        <v>831</v>
      </c>
      <c r="I30" s="13"/>
    </row>
    <row r="31" spans="1:9" ht="14.45">
      <c r="A31" s="248">
        <v>28</v>
      </c>
      <c r="B31" s="241" t="s">
        <v>189</v>
      </c>
      <c r="C31" s="241" t="s">
        <v>189</v>
      </c>
      <c r="D31" s="242">
        <v>8966045</v>
      </c>
      <c r="E31" s="17" t="s">
        <v>832</v>
      </c>
      <c r="F31" s="242">
        <v>1007550117</v>
      </c>
      <c r="G31" s="242">
        <v>3226518074</v>
      </c>
      <c r="H31" s="17" t="s">
        <v>833</v>
      </c>
      <c r="I31" s="13"/>
    </row>
    <row r="32" spans="1:9" ht="14.45">
      <c r="A32" s="248">
        <v>29</v>
      </c>
      <c r="B32" s="241" t="s">
        <v>189</v>
      </c>
      <c r="C32" s="241" t="s">
        <v>415</v>
      </c>
      <c r="D32" s="242">
        <v>8957898</v>
      </c>
      <c r="E32" s="17" t="s">
        <v>834</v>
      </c>
      <c r="F32" s="242">
        <v>1193580667</v>
      </c>
      <c r="G32" s="242">
        <v>3173684017</v>
      </c>
      <c r="H32" s="17" t="s">
        <v>835</v>
      </c>
      <c r="I32" s="13"/>
    </row>
    <row r="33" spans="1:10" ht="14.45">
      <c r="A33" s="248">
        <v>30</v>
      </c>
      <c r="B33" s="241" t="s">
        <v>189</v>
      </c>
      <c r="C33" s="241" t="s">
        <v>415</v>
      </c>
      <c r="D33" s="242">
        <v>8961914</v>
      </c>
      <c r="E33" s="17" t="s">
        <v>836</v>
      </c>
      <c r="F33" s="242">
        <v>1006107055</v>
      </c>
      <c r="G33" s="242">
        <v>3045512908</v>
      </c>
      <c r="H33" s="17" t="s">
        <v>837</v>
      </c>
      <c r="I33" s="13"/>
    </row>
    <row r="34" spans="1:10" ht="14.45">
      <c r="A34" s="248">
        <v>31</v>
      </c>
      <c r="B34" s="241" t="s">
        <v>188</v>
      </c>
      <c r="C34" s="241" t="s">
        <v>188</v>
      </c>
      <c r="D34" s="242">
        <v>8967904</v>
      </c>
      <c r="E34" s="17" t="s">
        <v>838</v>
      </c>
      <c r="F34" s="242">
        <v>1105360446</v>
      </c>
      <c r="G34" s="242">
        <v>3152718351</v>
      </c>
      <c r="H34" s="17" t="s">
        <v>839</v>
      </c>
      <c r="I34" s="13"/>
    </row>
    <row r="35" spans="1:10" ht="14.45">
      <c r="A35" s="248">
        <v>32</v>
      </c>
      <c r="B35" s="241" t="s">
        <v>188</v>
      </c>
      <c r="C35" s="241" t="s">
        <v>188</v>
      </c>
      <c r="D35" s="242">
        <v>8914091</v>
      </c>
      <c r="E35" s="17" t="s">
        <v>840</v>
      </c>
      <c r="F35" s="242">
        <v>1144102052</v>
      </c>
      <c r="G35" s="242">
        <v>3128730909</v>
      </c>
      <c r="H35" s="17" t="s">
        <v>841</v>
      </c>
      <c r="I35" s="13"/>
    </row>
    <row r="36" spans="1:10" ht="14.45">
      <c r="A36" s="248">
        <v>33</v>
      </c>
      <c r="B36" s="241" t="s">
        <v>188</v>
      </c>
      <c r="C36" s="241" t="s">
        <v>188</v>
      </c>
      <c r="D36" s="242">
        <v>8947584</v>
      </c>
      <c r="E36" s="17" t="s">
        <v>842</v>
      </c>
      <c r="F36" s="242">
        <v>1000033293</v>
      </c>
      <c r="G36" s="242">
        <v>4038602</v>
      </c>
      <c r="H36" s="17" t="s">
        <v>843</v>
      </c>
      <c r="I36" s="13"/>
    </row>
    <row r="37" spans="1:10" ht="14.45">
      <c r="A37" s="248">
        <v>34</v>
      </c>
      <c r="B37" s="241" t="s">
        <v>188</v>
      </c>
      <c r="C37" s="241" t="s">
        <v>188</v>
      </c>
      <c r="D37" s="242">
        <v>8968023</v>
      </c>
      <c r="E37" s="17" t="s">
        <v>844</v>
      </c>
      <c r="F37" s="242">
        <v>1006098624</v>
      </c>
      <c r="G37" s="242">
        <v>3137005503</v>
      </c>
      <c r="H37" s="17" t="s">
        <v>845</v>
      </c>
      <c r="I37" s="13"/>
    </row>
    <row r="38" spans="1:10" ht="14.45">
      <c r="A38" s="248">
        <v>35</v>
      </c>
      <c r="B38" s="241" t="s">
        <v>188</v>
      </c>
      <c r="C38" s="241" t="s">
        <v>188</v>
      </c>
      <c r="D38" s="242">
        <v>8943231</v>
      </c>
      <c r="E38" s="17" t="s">
        <v>846</v>
      </c>
      <c r="F38" s="242">
        <v>1007282354</v>
      </c>
      <c r="G38" s="242">
        <v>3218970405</v>
      </c>
      <c r="H38" s="17" t="s">
        <v>847</v>
      </c>
      <c r="I38" s="13"/>
    </row>
    <row r="39" spans="1:10" ht="14.45">
      <c r="A39" s="248">
        <v>36</v>
      </c>
      <c r="B39" s="241" t="s">
        <v>187</v>
      </c>
      <c r="C39" s="241" t="s">
        <v>187</v>
      </c>
      <c r="D39" s="242">
        <v>8972166</v>
      </c>
      <c r="E39" s="17" t="s">
        <v>848</v>
      </c>
      <c r="F39" s="242">
        <v>1110283914</v>
      </c>
      <c r="G39" s="242">
        <v>3226097634</v>
      </c>
      <c r="H39" s="17" t="s">
        <v>849</v>
      </c>
      <c r="I39" s="13"/>
    </row>
    <row r="40" spans="1:10" ht="14.45">
      <c r="A40" s="248">
        <v>37</v>
      </c>
      <c r="B40" s="241" t="s">
        <v>187</v>
      </c>
      <c r="C40" s="241" t="s">
        <v>187</v>
      </c>
      <c r="D40" s="242">
        <v>8969937</v>
      </c>
      <c r="E40" s="17" t="s">
        <v>850</v>
      </c>
      <c r="F40" s="242">
        <v>1111479603</v>
      </c>
      <c r="G40" s="242">
        <v>3108246412</v>
      </c>
      <c r="H40" s="17" t="s">
        <v>851</v>
      </c>
      <c r="I40" s="13"/>
    </row>
    <row r="41" spans="1:10" ht="14.45">
      <c r="A41" s="248">
        <v>38</v>
      </c>
      <c r="B41" s="241" t="s">
        <v>187</v>
      </c>
      <c r="C41" s="241" t="s">
        <v>187</v>
      </c>
      <c r="D41" s="242">
        <v>8970501</v>
      </c>
      <c r="E41" s="17" t="s">
        <v>852</v>
      </c>
      <c r="F41" s="242">
        <v>1061688004</v>
      </c>
      <c r="G41" s="242">
        <v>3186506493</v>
      </c>
      <c r="H41" s="17" t="s">
        <v>853</v>
      </c>
      <c r="I41" s="13"/>
    </row>
    <row r="42" spans="1:10" ht="14.45">
      <c r="A42" s="248">
        <v>39</v>
      </c>
      <c r="B42" s="241" t="s">
        <v>187</v>
      </c>
      <c r="C42" s="241" t="s">
        <v>425</v>
      </c>
      <c r="D42" s="242">
        <v>8966060</v>
      </c>
      <c r="E42" s="17" t="s">
        <v>854</v>
      </c>
      <c r="F42" s="242">
        <v>1081272743</v>
      </c>
      <c r="G42" s="242">
        <v>7217033</v>
      </c>
      <c r="H42" s="17" t="s">
        <v>855</v>
      </c>
      <c r="I42" s="13"/>
    </row>
    <row r="43" spans="1:10" ht="14.45">
      <c r="A43" s="248">
        <v>40</v>
      </c>
      <c r="B43" s="241" t="s">
        <v>187</v>
      </c>
      <c r="C43" s="241" t="s">
        <v>425</v>
      </c>
      <c r="D43" s="242">
        <v>8967060</v>
      </c>
      <c r="E43" s="17" t="s">
        <v>856</v>
      </c>
      <c r="F43" s="242">
        <v>1006208400</v>
      </c>
      <c r="G43" s="242">
        <v>3715198</v>
      </c>
      <c r="H43" s="17" t="s">
        <v>857</v>
      </c>
      <c r="I43" s="249"/>
    </row>
    <row r="44" spans="1:10" ht="14.45">
      <c r="A44" s="248">
        <v>41</v>
      </c>
      <c r="B44" s="241" t="s">
        <v>791</v>
      </c>
      <c r="C44" s="241" t="s">
        <v>791</v>
      </c>
      <c r="D44" s="242">
        <v>8958795</v>
      </c>
      <c r="E44" s="17" t="s">
        <v>858</v>
      </c>
      <c r="F44" s="242">
        <v>1006036997</v>
      </c>
      <c r="G44" s="242">
        <v>3759613</v>
      </c>
      <c r="H44" s="17" t="s">
        <v>859</v>
      </c>
      <c r="I44" s="13"/>
      <c r="J44" t="s">
        <v>860</v>
      </c>
    </row>
    <row r="45" spans="1:10" ht="15" customHeight="1">
      <c r="A45" s="248">
        <v>42</v>
      </c>
      <c r="B45" s="241" t="s">
        <v>791</v>
      </c>
      <c r="C45" s="241" t="s">
        <v>791</v>
      </c>
      <c r="D45" s="242">
        <v>8955713</v>
      </c>
      <c r="E45" s="17" t="s">
        <v>861</v>
      </c>
      <c r="F45" s="242">
        <v>1112482619</v>
      </c>
      <c r="G45" s="242">
        <v>3126685786</v>
      </c>
      <c r="H45" s="17" t="s">
        <v>862</v>
      </c>
      <c r="I45" s="13"/>
    </row>
    <row r="46" spans="1:10" ht="15" customHeight="1">
      <c r="A46" s="248">
        <v>43</v>
      </c>
      <c r="B46" s="241" t="s">
        <v>791</v>
      </c>
      <c r="C46" s="241" t="s">
        <v>791</v>
      </c>
      <c r="D46" s="309">
        <v>8966846</v>
      </c>
      <c r="E46" s="310" t="s">
        <v>863</v>
      </c>
      <c r="F46" s="309">
        <v>1007016548</v>
      </c>
      <c r="G46" s="309">
        <v>3154898123</v>
      </c>
      <c r="H46" s="310" t="s">
        <v>864</v>
      </c>
      <c r="I46" s="13"/>
    </row>
    <row r="47" spans="1:10" ht="15" customHeight="1">
      <c r="A47" s="248">
        <v>44</v>
      </c>
      <c r="B47" s="241" t="s">
        <v>791</v>
      </c>
      <c r="C47" s="241" t="s">
        <v>791</v>
      </c>
      <c r="D47" s="309">
        <v>8967666</v>
      </c>
      <c r="E47" s="310" t="s">
        <v>865</v>
      </c>
      <c r="F47" s="309">
        <v>1006106985</v>
      </c>
      <c r="G47" s="309">
        <v>3164666825</v>
      </c>
      <c r="H47" s="310" t="s">
        <v>866</v>
      </c>
      <c r="I47" s="13"/>
    </row>
    <row r="48" spans="1:10" ht="14.45">
      <c r="A48" s="248">
        <v>45</v>
      </c>
      <c r="B48" s="241" t="s">
        <v>791</v>
      </c>
      <c r="C48" s="241" t="s">
        <v>791</v>
      </c>
      <c r="D48" s="242">
        <v>8966392</v>
      </c>
      <c r="E48" s="17" t="s">
        <v>867</v>
      </c>
      <c r="F48" s="242">
        <v>1007522297</v>
      </c>
      <c r="G48" s="242">
        <v>3207848098</v>
      </c>
      <c r="H48" s="17" t="s">
        <v>868</v>
      </c>
      <c r="I48" s="13"/>
    </row>
    <row r="49" spans="1:13" ht="14.45">
      <c r="A49" s="248">
        <v>46</v>
      </c>
      <c r="B49" s="241" t="s">
        <v>794</v>
      </c>
      <c r="C49" s="241" t="s">
        <v>794</v>
      </c>
      <c r="D49" s="242">
        <v>8966388</v>
      </c>
      <c r="E49" s="17" t="s">
        <v>869</v>
      </c>
      <c r="F49" s="242">
        <v>1005784399</v>
      </c>
      <c r="G49" s="242">
        <v>3257405</v>
      </c>
      <c r="H49" s="17" t="s">
        <v>870</v>
      </c>
      <c r="I49" s="13"/>
    </row>
    <row r="50" spans="1:13" ht="14.45">
      <c r="A50" s="248">
        <v>47</v>
      </c>
      <c r="B50" s="241" t="s">
        <v>794</v>
      </c>
      <c r="C50" s="241" t="s">
        <v>794</v>
      </c>
      <c r="D50" s="242">
        <v>8963042</v>
      </c>
      <c r="E50" s="17" t="s">
        <v>871</v>
      </c>
      <c r="F50" s="242">
        <v>1111538585</v>
      </c>
      <c r="G50" s="242">
        <v>3136480641</v>
      </c>
      <c r="H50" s="17" t="s">
        <v>872</v>
      </c>
      <c r="I50" s="249"/>
    </row>
    <row r="51" spans="1:13" ht="14.45">
      <c r="A51" s="248">
        <v>48</v>
      </c>
      <c r="B51" s="241" t="s">
        <v>794</v>
      </c>
      <c r="C51" s="241" t="s">
        <v>873</v>
      </c>
      <c r="D51" s="242">
        <v>8957900</v>
      </c>
      <c r="E51" s="17" t="s">
        <v>874</v>
      </c>
      <c r="F51" s="242">
        <v>1007619308</v>
      </c>
      <c r="G51" s="242">
        <v>3758484</v>
      </c>
      <c r="H51" s="17" t="s">
        <v>875</v>
      </c>
      <c r="I51" s="13"/>
    </row>
    <row r="52" spans="1:13" ht="14.45">
      <c r="A52" s="248">
        <v>49</v>
      </c>
      <c r="B52" s="241" t="s">
        <v>794</v>
      </c>
      <c r="C52" s="241" t="s">
        <v>873</v>
      </c>
      <c r="D52" s="242">
        <v>8969686</v>
      </c>
      <c r="E52" s="17" t="s">
        <v>876</v>
      </c>
      <c r="F52" s="242">
        <v>1006109117</v>
      </c>
      <c r="G52" s="242">
        <v>3226163643</v>
      </c>
      <c r="H52" s="17" t="s">
        <v>877</v>
      </c>
      <c r="I52" s="13"/>
    </row>
    <row r="53" spans="1:13" ht="14.45">
      <c r="A53" s="248">
        <v>50</v>
      </c>
      <c r="B53" s="241" t="s">
        <v>797</v>
      </c>
      <c r="C53" s="241" t="s">
        <v>797</v>
      </c>
      <c r="D53" s="242">
        <v>8966228</v>
      </c>
      <c r="E53" s="17" t="s">
        <v>878</v>
      </c>
      <c r="F53" s="242">
        <v>1105361320</v>
      </c>
      <c r="G53" s="242">
        <v>3148635634</v>
      </c>
      <c r="H53" s="17" t="s">
        <v>879</v>
      </c>
      <c r="I53" s="249"/>
    </row>
    <row r="54" spans="1:13" ht="14.45">
      <c r="A54" s="248">
        <v>51</v>
      </c>
      <c r="B54" s="241" t="s">
        <v>797</v>
      </c>
      <c r="C54" s="241" t="s">
        <v>797</v>
      </c>
      <c r="D54" s="242">
        <v>8966460</v>
      </c>
      <c r="E54" s="17" t="s">
        <v>880</v>
      </c>
      <c r="F54" s="242">
        <v>1110362006</v>
      </c>
      <c r="G54" s="242">
        <v>3218736394</v>
      </c>
      <c r="H54" s="17" t="s">
        <v>881</v>
      </c>
      <c r="I54" s="13"/>
    </row>
    <row r="55" spans="1:13" ht="14.45">
      <c r="A55" s="248">
        <v>52</v>
      </c>
      <c r="B55" s="241" t="s">
        <v>797</v>
      </c>
      <c r="C55" s="241" t="s">
        <v>797</v>
      </c>
      <c r="D55" s="242">
        <v>8958031</v>
      </c>
      <c r="E55" s="17" t="s">
        <v>882</v>
      </c>
      <c r="F55" s="242">
        <v>1007602848</v>
      </c>
      <c r="G55" s="242">
        <v>3005584759</v>
      </c>
      <c r="H55" s="17" t="s">
        <v>883</v>
      </c>
      <c r="I55" s="13"/>
      <c r="M55" t="s">
        <v>884</v>
      </c>
    </row>
    <row r="56" spans="1:13" ht="14.45">
      <c r="A56" s="248">
        <v>53</v>
      </c>
      <c r="B56" s="241" t="s">
        <v>797</v>
      </c>
      <c r="C56" s="241" t="s">
        <v>797</v>
      </c>
      <c r="D56" s="242">
        <v>8963005</v>
      </c>
      <c r="E56" s="17" t="s">
        <v>885</v>
      </c>
      <c r="F56" s="242">
        <v>1006208588</v>
      </c>
      <c r="G56" s="242">
        <v>3224564151</v>
      </c>
      <c r="H56" s="17" t="s">
        <v>886</v>
      </c>
      <c r="I56" s="13"/>
    </row>
    <row r="57" spans="1:13" ht="14.45">
      <c r="A57" s="248">
        <v>54</v>
      </c>
      <c r="B57" s="241" t="s">
        <v>800</v>
      </c>
      <c r="C57" s="241" t="s">
        <v>800</v>
      </c>
      <c r="D57" s="242">
        <v>8970450</v>
      </c>
      <c r="E57" s="17" t="s">
        <v>887</v>
      </c>
      <c r="F57" s="242">
        <v>1058546540</v>
      </c>
      <c r="G57" s="242">
        <v>3003481971</v>
      </c>
      <c r="H57" s="17" t="s">
        <v>888</v>
      </c>
      <c r="I57" s="13"/>
    </row>
    <row r="58" spans="1:13" ht="14.45">
      <c r="A58" s="248">
        <v>55</v>
      </c>
      <c r="B58" s="241" t="s">
        <v>800</v>
      </c>
      <c r="C58" s="241" t="s">
        <v>800</v>
      </c>
      <c r="D58" s="242">
        <v>8966032</v>
      </c>
      <c r="E58" s="17" t="s">
        <v>889</v>
      </c>
      <c r="F58" s="242">
        <v>1081274180</v>
      </c>
      <c r="G58" s="242">
        <v>3173946006</v>
      </c>
      <c r="H58" s="17" t="s">
        <v>890</v>
      </c>
      <c r="I58" s="13"/>
    </row>
    <row r="59" spans="1:13" ht="14.45">
      <c r="A59" s="248">
        <v>56</v>
      </c>
      <c r="B59" s="241" t="s">
        <v>800</v>
      </c>
      <c r="C59" s="241" t="s">
        <v>891</v>
      </c>
      <c r="D59" s="242">
        <v>8970028</v>
      </c>
      <c r="E59" s="17" t="s">
        <v>892</v>
      </c>
      <c r="F59" s="242">
        <v>1086132732</v>
      </c>
      <c r="G59" s="242">
        <v>3150003363</v>
      </c>
      <c r="H59" s="17" t="s">
        <v>893</v>
      </c>
      <c r="I59" s="13"/>
    </row>
    <row r="60" spans="1:13" ht="14.45">
      <c r="A60" s="248">
        <v>57</v>
      </c>
      <c r="B60" s="241" t="s">
        <v>800</v>
      </c>
      <c r="C60" s="241" t="s">
        <v>891</v>
      </c>
      <c r="D60" s="242">
        <v>8931510</v>
      </c>
      <c r="E60" s="17" t="s">
        <v>894</v>
      </c>
      <c r="F60" s="242">
        <v>1115093061</v>
      </c>
      <c r="G60" s="242">
        <v>3150501459</v>
      </c>
      <c r="H60" s="17" t="s">
        <v>895</v>
      </c>
      <c r="I60" s="13"/>
    </row>
  </sheetData>
  <autoFilter ref="A3:K60" xr:uid="{A2A0EB90-570B-4BF7-BB72-A0AA22967B1F}"/>
  <sortState xmlns:xlrd2="http://schemas.microsoft.com/office/spreadsheetml/2017/richdata2" ref="B4:H60">
    <sortCondition ref="B4:B60"/>
  </sortState>
  <mergeCells count="4">
    <mergeCell ref="A1:H1"/>
    <mergeCell ref="J1:K1"/>
    <mergeCell ref="A2:H2"/>
    <mergeCell ref="J2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89C5-E634-4C8D-8B67-87A577CEF2E2}">
  <sheetPr>
    <tabColor rgb="FFFFFF00"/>
  </sheetPr>
  <dimension ref="A1:M18"/>
  <sheetViews>
    <sheetView topLeftCell="A4" zoomScale="80" zoomScaleNormal="80" workbookViewId="0">
      <selection activeCell="B9" sqref="B9"/>
    </sheetView>
  </sheetViews>
  <sheetFormatPr defaultColWidth="9.140625" defaultRowHeight="14.45"/>
  <cols>
    <col min="1" max="1" width="13.28515625" customWidth="1"/>
    <col min="2" max="2" width="67.85546875" customWidth="1"/>
    <col min="3" max="3" width="19.42578125" customWidth="1"/>
    <col min="4" max="4" width="24" style="2" customWidth="1"/>
    <col min="5" max="5" width="19.42578125" style="2" customWidth="1"/>
    <col min="6" max="7" width="16.7109375" style="2" customWidth="1"/>
    <col min="8" max="8" width="21.28515625" style="2" customWidth="1"/>
    <col min="9" max="9" width="15.42578125" style="2" customWidth="1"/>
    <col min="12" max="12" width="13" customWidth="1"/>
  </cols>
  <sheetData>
    <row r="1" spans="1:13" ht="54" customHeight="1">
      <c r="A1" s="548" t="s">
        <v>896</v>
      </c>
      <c r="B1" s="548"/>
      <c r="C1" s="548"/>
      <c r="D1" s="548"/>
      <c r="E1" s="548"/>
      <c r="F1" s="548"/>
      <c r="G1" s="548"/>
      <c r="H1" s="548"/>
      <c r="I1" s="548"/>
    </row>
    <row r="2" spans="1:13" s="1" customFormat="1" ht="37.5" customHeight="1">
      <c r="A2" s="67" t="s">
        <v>897</v>
      </c>
      <c r="B2" s="68" t="s">
        <v>898</v>
      </c>
      <c r="C2" s="250" t="s">
        <v>899</v>
      </c>
      <c r="D2" s="250" t="s">
        <v>900</v>
      </c>
      <c r="E2" s="251" t="s">
        <v>901</v>
      </c>
      <c r="F2" s="252" t="s">
        <v>902</v>
      </c>
      <c r="G2" s="252" t="s">
        <v>903</v>
      </c>
      <c r="H2" s="252" t="s">
        <v>904</v>
      </c>
      <c r="I2" s="252" t="s">
        <v>905</v>
      </c>
    </row>
    <row r="3" spans="1:13" ht="78.75" customHeight="1">
      <c r="A3" s="542" t="s">
        <v>906</v>
      </c>
      <c r="B3" s="320" t="s">
        <v>907</v>
      </c>
      <c r="C3" s="546" t="s">
        <v>908</v>
      </c>
      <c r="D3" s="75" t="s">
        <v>909</v>
      </c>
      <c r="E3" s="76" t="s">
        <v>910</v>
      </c>
      <c r="F3" s="77" t="s">
        <v>911</v>
      </c>
      <c r="G3" s="78" t="s">
        <v>912</v>
      </c>
      <c r="H3" s="79" t="s">
        <v>913</v>
      </c>
      <c r="I3" s="80" t="s">
        <v>914</v>
      </c>
    </row>
    <row r="4" spans="1:13" ht="57.95">
      <c r="A4" s="542"/>
      <c r="B4" s="321" t="s">
        <v>915</v>
      </c>
      <c r="C4" s="546"/>
      <c r="D4" s="80" t="s">
        <v>914</v>
      </c>
      <c r="E4" s="75" t="s">
        <v>909</v>
      </c>
      <c r="F4" s="76" t="s">
        <v>910</v>
      </c>
      <c r="G4" s="77" t="s">
        <v>911</v>
      </c>
      <c r="H4" s="78" t="s">
        <v>912</v>
      </c>
      <c r="I4" s="79" t="s">
        <v>913</v>
      </c>
    </row>
    <row r="5" spans="1:13" ht="57.95">
      <c r="A5" s="542"/>
      <c r="B5" s="321" t="s">
        <v>916</v>
      </c>
      <c r="C5" s="546"/>
      <c r="D5" s="79" t="s">
        <v>913</v>
      </c>
      <c r="E5" s="80" t="s">
        <v>914</v>
      </c>
      <c r="F5" s="75" t="s">
        <v>909</v>
      </c>
      <c r="G5" s="76" t="s">
        <v>910</v>
      </c>
      <c r="H5" s="77" t="s">
        <v>911</v>
      </c>
      <c r="I5" s="78" t="s">
        <v>912</v>
      </c>
    </row>
    <row r="6" spans="1:13" ht="87">
      <c r="A6" s="543"/>
      <c r="B6" s="321" t="s">
        <v>917</v>
      </c>
      <c r="C6" s="546"/>
      <c r="D6" s="78" t="s">
        <v>912</v>
      </c>
      <c r="E6" s="79" t="s">
        <v>913</v>
      </c>
      <c r="F6" s="80" t="s">
        <v>914</v>
      </c>
      <c r="G6" s="75" t="s">
        <v>909</v>
      </c>
      <c r="H6" s="76" t="s">
        <v>910</v>
      </c>
      <c r="I6" s="77" t="s">
        <v>911</v>
      </c>
    </row>
    <row r="7" spans="1:13">
      <c r="A7" s="542" t="s">
        <v>918</v>
      </c>
      <c r="B7" s="71" t="s">
        <v>919</v>
      </c>
      <c r="C7" s="546"/>
      <c r="D7" s="35" t="s">
        <v>791</v>
      </c>
      <c r="E7" s="36" t="s">
        <v>188</v>
      </c>
      <c r="F7" s="34" t="s">
        <v>181</v>
      </c>
      <c r="G7" s="31" t="s">
        <v>179</v>
      </c>
      <c r="H7" s="32" t="s">
        <v>172</v>
      </c>
      <c r="I7" s="33" t="s">
        <v>797</v>
      </c>
    </row>
    <row r="8" spans="1:13">
      <c r="A8" s="542"/>
      <c r="B8" s="71" t="s">
        <v>920</v>
      </c>
      <c r="C8" s="546"/>
      <c r="D8" s="35" t="s">
        <v>794</v>
      </c>
      <c r="E8" s="36" t="s">
        <v>187</v>
      </c>
      <c r="F8" s="34" t="s">
        <v>189</v>
      </c>
      <c r="G8" s="31" t="s">
        <v>178</v>
      </c>
      <c r="H8" s="32" t="s">
        <v>180</v>
      </c>
      <c r="I8" s="33" t="s">
        <v>800</v>
      </c>
    </row>
    <row r="9" spans="1:13" s="13" customFormat="1">
      <c r="A9" s="549"/>
      <c r="B9" s="71" t="s">
        <v>921</v>
      </c>
      <c r="C9" s="546"/>
      <c r="D9" s="35" t="s">
        <v>873</v>
      </c>
      <c r="E9" s="36" t="s">
        <v>425</v>
      </c>
      <c r="F9" s="34" t="s">
        <v>415</v>
      </c>
      <c r="G9" s="31" t="s">
        <v>813</v>
      </c>
      <c r="H9" s="32" t="s">
        <v>788</v>
      </c>
      <c r="I9" s="33" t="s">
        <v>891</v>
      </c>
    </row>
    <row r="10" spans="1:13">
      <c r="A10" s="540" t="s">
        <v>922</v>
      </c>
      <c r="B10" s="71" t="s">
        <v>923</v>
      </c>
      <c r="C10" s="546"/>
      <c r="D10" s="542" t="s">
        <v>797</v>
      </c>
      <c r="E10" s="544" t="s">
        <v>791</v>
      </c>
      <c r="F10" s="558" t="s">
        <v>188</v>
      </c>
      <c r="G10" s="560" t="s">
        <v>181</v>
      </c>
      <c r="H10" s="554" t="s">
        <v>179</v>
      </c>
      <c r="I10" s="556" t="s">
        <v>172</v>
      </c>
    </row>
    <row r="11" spans="1:13">
      <c r="A11" s="540"/>
      <c r="B11" s="71" t="s">
        <v>924</v>
      </c>
      <c r="C11" s="546"/>
      <c r="D11" s="543"/>
      <c r="E11" s="545"/>
      <c r="F11" s="559"/>
      <c r="G11" s="561"/>
      <c r="H11" s="555"/>
      <c r="I11" s="557"/>
    </row>
    <row r="12" spans="1:13">
      <c r="A12" s="540"/>
      <c r="B12" s="71" t="s">
        <v>925</v>
      </c>
      <c r="C12" s="546"/>
      <c r="D12" s="542" t="s">
        <v>800</v>
      </c>
      <c r="E12" s="544" t="s">
        <v>794</v>
      </c>
      <c r="F12" s="558" t="s">
        <v>187</v>
      </c>
      <c r="G12" s="560" t="s">
        <v>189</v>
      </c>
      <c r="H12" s="554" t="s">
        <v>178</v>
      </c>
      <c r="I12" s="556" t="s">
        <v>180</v>
      </c>
    </row>
    <row r="13" spans="1:13">
      <c r="A13" s="541"/>
      <c r="B13" s="71" t="s">
        <v>926</v>
      </c>
      <c r="C13" s="547"/>
      <c r="D13" s="543"/>
      <c r="E13" s="545"/>
      <c r="F13" s="559"/>
      <c r="G13" s="561"/>
      <c r="H13" s="555"/>
      <c r="I13" s="557"/>
    </row>
    <row r="15" spans="1:13">
      <c r="A15" s="70" t="s">
        <v>927</v>
      </c>
      <c r="B15" s="550" t="s">
        <v>928</v>
      </c>
      <c r="C15" s="550"/>
      <c r="D15" s="550"/>
      <c r="E15" s="550"/>
      <c r="F15" s="551" t="s">
        <v>929</v>
      </c>
      <c r="G15" s="551"/>
      <c r="H15" s="551"/>
      <c r="I15" s="551"/>
      <c r="J15" s="552" t="s">
        <v>930</v>
      </c>
      <c r="K15" s="552"/>
      <c r="L15" s="552"/>
      <c r="M15" s="553"/>
    </row>
    <row r="16" spans="1:13">
      <c r="A16" s="22" t="s">
        <v>931</v>
      </c>
      <c r="B16" s="270" t="s">
        <v>932</v>
      </c>
      <c r="C16" s="270" t="s">
        <v>933</v>
      </c>
      <c r="D16" s="270" t="s">
        <v>934</v>
      </c>
      <c r="E16" s="270" t="s">
        <v>935</v>
      </c>
      <c r="F16" s="271" t="s">
        <v>932</v>
      </c>
      <c r="G16" s="271" t="s">
        <v>933</v>
      </c>
      <c r="H16" s="271" t="s">
        <v>934</v>
      </c>
      <c r="I16" s="271" t="s">
        <v>935</v>
      </c>
      <c r="J16" s="272" t="s">
        <v>932</v>
      </c>
      <c r="K16" s="272" t="s">
        <v>933</v>
      </c>
      <c r="L16" s="272" t="s">
        <v>934</v>
      </c>
      <c r="M16" s="273" t="s">
        <v>935</v>
      </c>
    </row>
    <row r="17" spans="1:13" ht="24">
      <c r="A17" s="70" t="s">
        <v>734</v>
      </c>
      <c r="B17" s="274" t="s">
        <v>936</v>
      </c>
      <c r="C17" s="274" t="s">
        <v>937</v>
      </c>
      <c r="D17" s="274" t="s">
        <v>936</v>
      </c>
      <c r="E17" s="275"/>
      <c r="F17" s="276" t="s">
        <v>938</v>
      </c>
      <c r="G17" s="276" t="s">
        <v>939</v>
      </c>
      <c r="H17" s="276" t="s">
        <v>940</v>
      </c>
      <c r="I17" s="275"/>
      <c r="J17" s="277" t="s">
        <v>941</v>
      </c>
      <c r="K17" s="278" t="s">
        <v>942</v>
      </c>
      <c r="L17" s="277" t="s">
        <v>939</v>
      </c>
      <c r="M17" s="279"/>
    </row>
    <row r="18" spans="1:13" ht="24">
      <c r="A18" s="70" t="s">
        <v>586</v>
      </c>
      <c r="B18" s="280"/>
      <c r="C18" s="274" t="s">
        <v>937</v>
      </c>
      <c r="D18" s="275"/>
      <c r="E18" s="280"/>
      <c r="F18" s="275"/>
      <c r="G18" s="275"/>
      <c r="H18" s="275"/>
      <c r="I18" s="276" t="s">
        <v>943</v>
      </c>
      <c r="J18" s="277" t="s">
        <v>941</v>
      </c>
      <c r="K18" s="280"/>
      <c r="L18" s="280"/>
      <c r="M18" s="281"/>
    </row>
  </sheetData>
  <mergeCells count="20">
    <mergeCell ref="B15:E15"/>
    <mergeCell ref="F15:I15"/>
    <mergeCell ref="J15:M15"/>
    <mergeCell ref="H10:H11"/>
    <mergeCell ref="I10:I11"/>
    <mergeCell ref="H12:H13"/>
    <mergeCell ref="I12:I13"/>
    <mergeCell ref="F10:F11"/>
    <mergeCell ref="G10:G11"/>
    <mergeCell ref="D12:D13"/>
    <mergeCell ref="E12:E13"/>
    <mergeCell ref="F12:F13"/>
    <mergeCell ref="G12:G13"/>
    <mergeCell ref="A10:A13"/>
    <mergeCell ref="D10:D11"/>
    <mergeCell ref="E10:E11"/>
    <mergeCell ref="C3:C13"/>
    <mergeCell ref="A1:I1"/>
    <mergeCell ref="A3:A6"/>
    <mergeCell ref="A7:A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N57"/>
  <sheetViews>
    <sheetView showGridLines="0" topLeftCell="A22" zoomScale="85" zoomScaleNormal="85" workbookViewId="0">
      <selection activeCell="C3" sqref="C3"/>
    </sheetView>
  </sheetViews>
  <sheetFormatPr defaultColWidth="11.42578125" defaultRowHeight="19.5" customHeight="1"/>
  <cols>
    <col min="1" max="1" width="4.5703125" style="13" bestFit="1" customWidth="1"/>
    <col min="2" max="2" width="11.5703125" style="13" bestFit="1" customWidth="1"/>
    <col min="3" max="3" width="11.5703125" style="13" hidden="1" customWidth="1"/>
    <col min="4" max="4" width="11.7109375" style="13" customWidth="1"/>
    <col min="5" max="5" width="28.7109375" customWidth="1"/>
    <col min="6" max="6" width="16.140625" style="13" bestFit="1" customWidth="1"/>
    <col min="7" max="7" width="14.140625" style="1" bestFit="1" customWidth="1"/>
    <col min="8" max="8" width="42.42578125" customWidth="1"/>
    <col min="9" max="9" width="14.28515625" bestFit="1" customWidth="1"/>
    <col min="10" max="10" width="1.7109375" customWidth="1"/>
    <col min="11" max="11" width="6.5703125" bestFit="1" customWidth="1"/>
    <col min="12" max="12" width="4.140625" bestFit="1" customWidth="1"/>
  </cols>
  <sheetData>
    <row r="1" spans="1:12" s="21" customFormat="1" ht="19.5" customHeight="1">
      <c r="A1" s="530" t="s">
        <v>944</v>
      </c>
      <c r="B1" s="530"/>
      <c r="C1" s="530"/>
      <c r="D1" s="530"/>
      <c r="E1" s="530"/>
      <c r="F1" s="530"/>
      <c r="G1" s="530"/>
      <c r="H1" s="530"/>
    </row>
    <row r="2" spans="1:12" s="21" customFormat="1" ht="19.5" customHeight="1">
      <c r="A2" s="562" t="s">
        <v>156</v>
      </c>
      <c r="B2" s="562"/>
      <c r="C2" s="562"/>
      <c r="D2" s="562"/>
      <c r="E2" s="562"/>
      <c r="F2" s="562"/>
      <c r="G2" s="562"/>
      <c r="H2" s="562"/>
    </row>
    <row r="3" spans="1:12" s="20" customFormat="1" ht="19.5" customHeight="1">
      <c r="A3" s="70" t="s">
        <v>945</v>
      </c>
      <c r="B3" s="70" t="s">
        <v>1</v>
      </c>
      <c r="C3" s="70" t="s">
        <v>946</v>
      </c>
      <c r="D3" s="70" t="s">
        <v>352</v>
      </c>
      <c r="E3" s="70" t="s">
        <v>353</v>
      </c>
      <c r="F3" s="70" t="s">
        <v>4</v>
      </c>
      <c r="G3" s="70" t="s">
        <v>5</v>
      </c>
      <c r="H3" s="70" t="s">
        <v>354</v>
      </c>
      <c r="I3" s="74"/>
    </row>
    <row r="4" spans="1:12" ht="19.5" customHeight="1">
      <c r="A4" s="63">
        <v>1</v>
      </c>
      <c r="B4" s="166" t="s">
        <v>172</v>
      </c>
      <c r="C4" s="166" t="s">
        <v>172</v>
      </c>
      <c r="D4" s="290">
        <v>8957959</v>
      </c>
      <c r="E4" s="232" t="s">
        <v>947</v>
      </c>
      <c r="F4" s="290">
        <v>1005745268</v>
      </c>
      <c r="G4" s="233">
        <v>4872869</v>
      </c>
      <c r="H4" s="232" t="s">
        <v>948</v>
      </c>
      <c r="I4" s="73"/>
      <c r="K4" s="530" t="s">
        <v>949</v>
      </c>
      <c r="L4" s="530"/>
    </row>
    <row r="5" spans="1:12" ht="19.5" customHeight="1">
      <c r="A5" s="63">
        <v>2</v>
      </c>
      <c r="B5" s="166" t="s">
        <v>172</v>
      </c>
      <c r="C5" s="166" t="s">
        <v>172</v>
      </c>
      <c r="D5" s="290">
        <v>8967863</v>
      </c>
      <c r="E5" s="232" t="s">
        <v>950</v>
      </c>
      <c r="F5" s="290">
        <v>1112038007</v>
      </c>
      <c r="G5" s="233">
        <v>3045882045</v>
      </c>
      <c r="H5" s="232" t="s">
        <v>951</v>
      </c>
      <c r="I5" s="73"/>
      <c r="K5" s="14" t="s">
        <v>1</v>
      </c>
      <c r="L5" s="14" t="s">
        <v>355</v>
      </c>
    </row>
    <row r="6" spans="1:12" ht="19.5" customHeight="1">
      <c r="A6" s="63">
        <v>3</v>
      </c>
      <c r="B6" s="166" t="s">
        <v>172</v>
      </c>
      <c r="C6" s="166" t="s">
        <v>172</v>
      </c>
      <c r="D6" s="290">
        <v>8958555</v>
      </c>
      <c r="E6" s="232" t="s">
        <v>952</v>
      </c>
      <c r="F6" s="290">
        <v>1005897365</v>
      </c>
      <c r="G6" s="233">
        <v>3244276377</v>
      </c>
      <c r="H6" s="232" t="s">
        <v>953</v>
      </c>
      <c r="K6" s="3" t="s">
        <v>172</v>
      </c>
      <c r="L6" s="3">
        <f t="shared" ref="L6:L17" si="0">COUNTIF($B$4:$B$57,K6)</f>
        <v>6</v>
      </c>
    </row>
    <row r="7" spans="1:12" ht="19.5" customHeight="1">
      <c r="A7" s="63">
        <v>4</v>
      </c>
      <c r="B7" s="166" t="s">
        <v>172</v>
      </c>
      <c r="C7" s="166" t="s">
        <v>172</v>
      </c>
      <c r="D7" s="290">
        <v>8958009</v>
      </c>
      <c r="E7" s="232" t="s">
        <v>954</v>
      </c>
      <c r="F7" s="290">
        <v>1007509705</v>
      </c>
      <c r="G7" s="233">
        <v>3022868955</v>
      </c>
      <c r="H7" s="232" t="s">
        <v>955</v>
      </c>
      <c r="K7" s="3" t="s">
        <v>180</v>
      </c>
      <c r="L7" s="3">
        <f t="shared" si="0"/>
        <v>0</v>
      </c>
    </row>
    <row r="8" spans="1:12" ht="19.5" customHeight="1">
      <c r="A8" s="63">
        <v>5</v>
      </c>
      <c r="B8" s="166" t="s">
        <v>172</v>
      </c>
      <c r="C8" s="166" t="s">
        <v>172</v>
      </c>
      <c r="D8" s="290">
        <v>8959037</v>
      </c>
      <c r="E8" s="232" t="s">
        <v>956</v>
      </c>
      <c r="F8" s="290">
        <v>1006206770</v>
      </c>
      <c r="G8" s="233">
        <v>8729289</v>
      </c>
      <c r="H8" s="232" t="s">
        <v>957</v>
      </c>
      <c r="K8" s="3" t="s">
        <v>179</v>
      </c>
      <c r="L8" s="3">
        <f t="shared" si="0"/>
        <v>6</v>
      </c>
    </row>
    <row r="9" spans="1:12" ht="19.5" customHeight="1">
      <c r="A9" s="63">
        <v>6</v>
      </c>
      <c r="B9" s="166" t="s">
        <v>172</v>
      </c>
      <c r="C9" s="166" t="s">
        <v>180</v>
      </c>
      <c r="D9" s="290">
        <v>8958196</v>
      </c>
      <c r="E9" s="232" t="s">
        <v>958</v>
      </c>
      <c r="F9" s="290">
        <v>1006049661</v>
      </c>
      <c r="G9" s="233">
        <v>3505463062</v>
      </c>
      <c r="H9" s="232" t="s">
        <v>959</v>
      </c>
      <c r="I9" s="1"/>
      <c r="K9" s="3" t="s">
        <v>178</v>
      </c>
      <c r="L9" s="3">
        <f t="shared" si="0"/>
        <v>0</v>
      </c>
    </row>
    <row r="10" spans="1:12" ht="19.5" customHeight="1">
      <c r="A10" s="63">
        <v>7</v>
      </c>
      <c r="B10" s="166" t="s">
        <v>960</v>
      </c>
      <c r="C10" s="166" t="s">
        <v>180</v>
      </c>
      <c r="D10" s="290">
        <v>8965820</v>
      </c>
      <c r="E10" s="232" t="s">
        <v>961</v>
      </c>
      <c r="F10" s="290">
        <v>1151971496</v>
      </c>
      <c r="G10" s="233">
        <v>3234905746</v>
      </c>
      <c r="H10" s="232" t="s">
        <v>962</v>
      </c>
      <c r="I10" s="73"/>
      <c r="K10" s="3" t="s">
        <v>181</v>
      </c>
      <c r="L10" s="3">
        <f t="shared" si="0"/>
        <v>6</v>
      </c>
    </row>
    <row r="11" spans="1:12" ht="19.5" customHeight="1">
      <c r="A11" s="63">
        <v>8</v>
      </c>
      <c r="B11" s="166" t="s">
        <v>960</v>
      </c>
      <c r="C11" s="166" t="s">
        <v>180</v>
      </c>
      <c r="D11" s="290">
        <v>8979058</v>
      </c>
      <c r="E11" s="232" t="s">
        <v>963</v>
      </c>
      <c r="F11" s="290">
        <v>1007489218</v>
      </c>
      <c r="G11" s="233">
        <v>3207864022</v>
      </c>
      <c r="H11" s="232" t="s">
        <v>964</v>
      </c>
      <c r="I11" s="73"/>
      <c r="K11" s="3" t="s">
        <v>189</v>
      </c>
      <c r="L11" s="3">
        <f t="shared" si="0"/>
        <v>0</v>
      </c>
    </row>
    <row r="12" spans="1:12" ht="19.5" customHeight="1">
      <c r="A12" s="63">
        <v>9</v>
      </c>
      <c r="B12" s="166" t="s">
        <v>960</v>
      </c>
      <c r="C12" s="166" t="s">
        <v>180</v>
      </c>
      <c r="D12" s="290">
        <v>8967284</v>
      </c>
      <c r="E12" s="232" t="s">
        <v>965</v>
      </c>
      <c r="F12" s="290">
        <v>1110287362</v>
      </c>
      <c r="G12" s="233">
        <v>3166026691</v>
      </c>
      <c r="H12" s="232" t="s">
        <v>966</v>
      </c>
      <c r="K12" s="3" t="s">
        <v>188</v>
      </c>
      <c r="L12" s="3">
        <f t="shared" si="0"/>
        <v>6</v>
      </c>
    </row>
    <row r="13" spans="1:12" ht="19.5" customHeight="1">
      <c r="A13" s="63">
        <v>10</v>
      </c>
      <c r="B13" s="166" t="s">
        <v>967</v>
      </c>
      <c r="C13" s="166" t="s">
        <v>179</v>
      </c>
      <c r="D13" s="290">
        <v>8967766</v>
      </c>
      <c r="E13" s="232" t="s">
        <v>968</v>
      </c>
      <c r="F13" s="290">
        <v>1004191689</v>
      </c>
      <c r="G13" s="233">
        <v>3147869128</v>
      </c>
      <c r="H13" s="232" t="s">
        <v>969</v>
      </c>
      <c r="K13" s="3" t="s">
        <v>187</v>
      </c>
      <c r="L13" s="3">
        <f t="shared" si="0"/>
        <v>0</v>
      </c>
    </row>
    <row r="14" spans="1:12" ht="19.5" customHeight="1">
      <c r="A14" s="63">
        <v>11</v>
      </c>
      <c r="B14" s="166" t="s">
        <v>967</v>
      </c>
      <c r="C14" s="166" t="s">
        <v>179</v>
      </c>
      <c r="D14" s="290">
        <v>8965296</v>
      </c>
      <c r="E14" s="232" t="s">
        <v>970</v>
      </c>
      <c r="F14" s="290">
        <v>1005893466</v>
      </c>
      <c r="G14" s="233">
        <v>3215064769</v>
      </c>
      <c r="H14" s="232" t="s">
        <v>971</v>
      </c>
      <c r="K14" s="3" t="s">
        <v>791</v>
      </c>
      <c r="L14" s="3">
        <f t="shared" si="0"/>
        <v>6</v>
      </c>
    </row>
    <row r="15" spans="1:12" ht="19.5" customHeight="1">
      <c r="A15" s="63">
        <v>12</v>
      </c>
      <c r="B15" s="166" t="s">
        <v>967</v>
      </c>
      <c r="C15" s="166" t="s">
        <v>179</v>
      </c>
      <c r="D15" s="290">
        <v>8965937</v>
      </c>
      <c r="E15" s="232" t="s">
        <v>972</v>
      </c>
      <c r="F15" s="290">
        <v>1005894989</v>
      </c>
      <c r="G15" s="233">
        <v>3152384992</v>
      </c>
      <c r="H15" s="232" t="s">
        <v>973</v>
      </c>
      <c r="K15" s="3" t="s">
        <v>794</v>
      </c>
      <c r="L15" s="3">
        <f t="shared" si="0"/>
        <v>0</v>
      </c>
    </row>
    <row r="16" spans="1:12" ht="19.5" customHeight="1">
      <c r="A16" s="63">
        <v>13</v>
      </c>
      <c r="B16" s="166" t="s">
        <v>179</v>
      </c>
      <c r="C16" s="166" t="s">
        <v>179</v>
      </c>
      <c r="D16" s="290">
        <v>8961913</v>
      </c>
      <c r="E16" s="232" t="s">
        <v>974</v>
      </c>
      <c r="F16" s="290">
        <v>1115358246</v>
      </c>
      <c r="G16" s="233">
        <v>2196377</v>
      </c>
      <c r="H16" s="232" t="s">
        <v>975</v>
      </c>
      <c r="K16" s="3" t="s">
        <v>797</v>
      </c>
      <c r="L16" s="3">
        <f t="shared" si="0"/>
        <v>6</v>
      </c>
    </row>
    <row r="17" spans="1:12" ht="19.5" customHeight="1">
      <c r="A17" s="63">
        <v>14</v>
      </c>
      <c r="B17" s="166" t="s">
        <v>179</v>
      </c>
      <c r="C17" s="166" t="s">
        <v>178</v>
      </c>
      <c r="D17" s="290">
        <v>8959896</v>
      </c>
      <c r="E17" s="232" t="s">
        <v>976</v>
      </c>
      <c r="F17" s="290">
        <v>1002968962</v>
      </c>
      <c r="G17" s="233">
        <v>8248848</v>
      </c>
      <c r="H17" s="232" t="s">
        <v>977</v>
      </c>
      <c r="K17" s="3" t="s">
        <v>800</v>
      </c>
      <c r="L17" s="3">
        <f t="shared" si="0"/>
        <v>0</v>
      </c>
    </row>
    <row r="18" spans="1:12" ht="19.5" customHeight="1">
      <c r="A18" s="63">
        <v>15</v>
      </c>
      <c r="B18" s="166" t="s">
        <v>179</v>
      </c>
      <c r="C18" s="166" t="s">
        <v>178</v>
      </c>
      <c r="D18" s="290">
        <v>8962211</v>
      </c>
      <c r="E18" s="232" t="s">
        <v>978</v>
      </c>
      <c r="F18" s="290">
        <v>1004233870</v>
      </c>
      <c r="G18" s="233">
        <v>3182513015</v>
      </c>
      <c r="H18" s="232" t="s">
        <v>979</v>
      </c>
      <c r="K18" s="2"/>
      <c r="L18" s="1">
        <f>SUM(L6:L17)</f>
        <v>36</v>
      </c>
    </row>
    <row r="19" spans="1:12" ht="19.5" customHeight="1">
      <c r="A19" s="63">
        <v>16</v>
      </c>
      <c r="B19" s="166" t="s">
        <v>179</v>
      </c>
      <c r="C19" s="166" t="s">
        <v>178</v>
      </c>
      <c r="D19" s="290">
        <v>8962646</v>
      </c>
      <c r="E19" s="232" t="s">
        <v>980</v>
      </c>
      <c r="F19" s="290">
        <v>1193424392</v>
      </c>
      <c r="G19" s="233">
        <v>3153384890</v>
      </c>
      <c r="H19" s="232" t="s">
        <v>981</v>
      </c>
    </row>
    <row r="20" spans="1:12" ht="19.5" customHeight="1">
      <c r="A20" s="63">
        <v>17</v>
      </c>
      <c r="B20" s="166" t="s">
        <v>179</v>
      </c>
      <c r="C20" s="166" t="s">
        <v>178</v>
      </c>
      <c r="D20" s="290">
        <v>8967136</v>
      </c>
      <c r="E20" s="232" t="s">
        <v>982</v>
      </c>
      <c r="F20" s="290">
        <v>1110363650</v>
      </c>
      <c r="G20" s="233">
        <v>2601995</v>
      </c>
      <c r="H20" s="232" t="s">
        <v>983</v>
      </c>
    </row>
    <row r="21" spans="1:12" ht="19.5" customHeight="1">
      <c r="A21" s="63">
        <v>18</v>
      </c>
      <c r="B21" s="166" t="s">
        <v>179</v>
      </c>
      <c r="C21" s="166" t="s">
        <v>178</v>
      </c>
      <c r="D21" s="290">
        <v>8960431</v>
      </c>
      <c r="E21" s="232" t="s">
        <v>984</v>
      </c>
      <c r="F21" s="290">
        <v>1193210337</v>
      </c>
      <c r="G21" s="233">
        <v>3113614725</v>
      </c>
      <c r="H21" s="232" t="s">
        <v>985</v>
      </c>
    </row>
    <row r="22" spans="1:12" ht="19.5" customHeight="1">
      <c r="A22" s="63">
        <v>19</v>
      </c>
      <c r="B22" s="166" t="s">
        <v>181</v>
      </c>
      <c r="C22" s="166" t="s">
        <v>181</v>
      </c>
      <c r="D22" s="290">
        <v>8966412</v>
      </c>
      <c r="E22" s="232" t="s">
        <v>986</v>
      </c>
      <c r="F22" s="290">
        <v>1006015635</v>
      </c>
      <c r="G22" s="233">
        <v>3700434</v>
      </c>
      <c r="H22" s="232" t="s">
        <v>987</v>
      </c>
    </row>
    <row r="23" spans="1:12" ht="19.5" customHeight="1">
      <c r="A23" s="63">
        <v>20</v>
      </c>
      <c r="B23" s="166" t="s">
        <v>181</v>
      </c>
      <c r="C23" s="166" t="s">
        <v>181</v>
      </c>
      <c r="D23" s="290">
        <v>8966391</v>
      </c>
      <c r="E23" s="232" t="s">
        <v>988</v>
      </c>
      <c r="F23" s="290">
        <v>1006106779</v>
      </c>
      <c r="G23" s="233">
        <v>3142713846</v>
      </c>
      <c r="H23" s="232" t="s">
        <v>989</v>
      </c>
    </row>
    <row r="24" spans="1:12" ht="19.5" customHeight="1">
      <c r="A24" s="63">
        <v>21</v>
      </c>
      <c r="B24" s="166" t="s">
        <v>181</v>
      </c>
      <c r="C24" s="166" t="s">
        <v>181</v>
      </c>
      <c r="D24" s="290">
        <v>8957897</v>
      </c>
      <c r="E24" s="232" t="s">
        <v>990</v>
      </c>
      <c r="F24" s="290">
        <v>1193108552</v>
      </c>
      <c r="G24" s="233">
        <v>3737595</v>
      </c>
      <c r="H24" s="232" t="s">
        <v>991</v>
      </c>
    </row>
    <row r="25" spans="1:12" ht="19.5" customHeight="1">
      <c r="A25" s="63">
        <v>22</v>
      </c>
      <c r="B25" s="166" t="s">
        <v>181</v>
      </c>
      <c r="C25" s="166" t="s">
        <v>181</v>
      </c>
      <c r="D25" s="290">
        <v>8965906</v>
      </c>
      <c r="E25" s="232" t="s">
        <v>992</v>
      </c>
      <c r="F25" s="290">
        <v>1110364287</v>
      </c>
      <c r="G25" s="233">
        <v>8204444</v>
      </c>
      <c r="H25" s="232" t="s">
        <v>993</v>
      </c>
    </row>
    <row r="26" spans="1:12" ht="19.5" customHeight="1">
      <c r="A26" s="63">
        <v>23</v>
      </c>
      <c r="B26" s="166" t="s">
        <v>181</v>
      </c>
      <c r="C26" s="166" t="s">
        <v>181</v>
      </c>
      <c r="D26" s="290">
        <v>8962604</v>
      </c>
      <c r="E26" s="232" t="s">
        <v>994</v>
      </c>
      <c r="F26" s="290">
        <v>1006172528</v>
      </c>
      <c r="G26" s="233">
        <v>3128654616</v>
      </c>
      <c r="H26" s="232" t="s">
        <v>995</v>
      </c>
    </row>
    <row r="27" spans="1:12" ht="19.5" customHeight="1">
      <c r="A27" s="63">
        <v>24</v>
      </c>
      <c r="B27" s="166" t="s">
        <v>181</v>
      </c>
      <c r="C27" s="166" t="s">
        <v>189</v>
      </c>
      <c r="D27" s="290">
        <v>8966907</v>
      </c>
      <c r="E27" s="232" t="s">
        <v>996</v>
      </c>
      <c r="F27" s="290">
        <v>1007827717</v>
      </c>
      <c r="G27" s="233">
        <v>3152800767</v>
      </c>
      <c r="H27" s="232" t="s">
        <v>997</v>
      </c>
    </row>
    <row r="28" spans="1:12" ht="19.5" customHeight="1">
      <c r="A28" s="63">
        <v>25</v>
      </c>
      <c r="B28" s="166" t="s">
        <v>998</v>
      </c>
      <c r="C28" s="166" t="s">
        <v>189</v>
      </c>
      <c r="D28" s="290">
        <v>8967264</v>
      </c>
      <c r="E28" s="232" t="s">
        <v>999</v>
      </c>
      <c r="F28" s="290">
        <v>1006107139</v>
      </c>
      <c r="G28" s="233">
        <v>3152120369</v>
      </c>
      <c r="H28" s="232" t="s">
        <v>1000</v>
      </c>
    </row>
    <row r="29" spans="1:12" ht="19.5" customHeight="1">
      <c r="A29" s="63">
        <v>26</v>
      </c>
      <c r="B29" s="166" t="s">
        <v>1001</v>
      </c>
      <c r="C29" s="166" t="s">
        <v>189</v>
      </c>
      <c r="D29" s="290">
        <v>8967773</v>
      </c>
      <c r="E29" s="232" t="s">
        <v>1002</v>
      </c>
      <c r="F29" s="290">
        <v>1059234270</v>
      </c>
      <c r="G29" s="233">
        <v>8374422</v>
      </c>
      <c r="H29" s="232" t="s">
        <v>1003</v>
      </c>
    </row>
    <row r="30" spans="1:12" ht="19.5" customHeight="1">
      <c r="A30" s="63">
        <v>27</v>
      </c>
      <c r="B30" s="166" t="s">
        <v>1001</v>
      </c>
      <c r="C30" s="166" t="s">
        <v>189</v>
      </c>
      <c r="D30" s="290">
        <v>8965388</v>
      </c>
      <c r="E30" s="232" t="s">
        <v>1004</v>
      </c>
      <c r="F30" s="290">
        <v>1108332286</v>
      </c>
      <c r="G30" s="233">
        <v>2857428</v>
      </c>
      <c r="H30" s="232" t="s">
        <v>1005</v>
      </c>
    </row>
    <row r="31" spans="1:12" ht="19.5" customHeight="1">
      <c r="A31" s="63">
        <v>28</v>
      </c>
      <c r="B31" s="166" t="s">
        <v>1001</v>
      </c>
      <c r="C31" s="166" t="s">
        <v>188</v>
      </c>
      <c r="D31" s="290">
        <v>8966349</v>
      </c>
      <c r="E31" s="232" t="s">
        <v>1006</v>
      </c>
      <c r="F31" s="290">
        <v>1058932071</v>
      </c>
      <c r="G31" s="233">
        <v>8375921</v>
      </c>
      <c r="H31" s="232" t="s">
        <v>1007</v>
      </c>
    </row>
    <row r="32" spans="1:12" ht="19.5" customHeight="1">
      <c r="A32" s="63">
        <v>29</v>
      </c>
      <c r="B32" s="166" t="s">
        <v>1008</v>
      </c>
      <c r="C32" s="166" t="s">
        <v>188</v>
      </c>
      <c r="D32" s="290">
        <v>8965720</v>
      </c>
      <c r="E32" s="232" t="s">
        <v>1009</v>
      </c>
      <c r="F32" s="290">
        <v>1005894220</v>
      </c>
      <c r="G32" s="233">
        <v>3137837830</v>
      </c>
      <c r="H32" s="232" t="s">
        <v>1010</v>
      </c>
    </row>
    <row r="33" spans="1:14" ht="19.5" customHeight="1">
      <c r="A33" s="63">
        <v>30</v>
      </c>
      <c r="B33" s="166" t="s">
        <v>1008</v>
      </c>
      <c r="C33" s="166" t="s">
        <v>188</v>
      </c>
      <c r="D33" s="290">
        <v>8967771</v>
      </c>
      <c r="E33" s="232" t="s">
        <v>1011</v>
      </c>
      <c r="F33" s="290">
        <v>1006207028</v>
      </c>
      <c r="G33" s="233">
        <v>3128959963</v>
      </c>
      <c r="H33" s="232" t="s">
        <v>1012</v>
      </c>
    </row>
    <row r="34" spans="1:14" ht="19.5" customHeight="1">
      <c r="A34" s="63">
        <v>31</v>
      </c>
      <c r="B34" s="166" t="s">
        <v>188</v>
      </c>
      <c r="C34" s="166" t="s">
        <v>188</v>
      </c>
      <c r="D34" s="290">
        <v>8966122</v>
      </c>
      <c r="E34" s="232" t="s">
        <v>1013</v>
      </c>
      <c r="F34" s="290">
        <v>1086418060</v>
      </c>
      <c r="G34" s="233">
        <v>7220230</v>
      </c>
      <c r="H34" s="232" t="s">
        <v>1014</v>
      </c>
    </row>
    <row r="35" spans="1:14" ht="19.5" customHeight="1">
      <c r="A35" s="63">
        <v>32</v>
      </c>
      <c r="B35" s="166" t="s">
        <v>188</v>
      </c>
      <c r="C35" s="166" t="s">
        <v>187</v>
      </c>
      <c r="D35" s="290">
        <v>8967326</v>
      </c>
      <c r="E35" s="232" t="s">
        <v>1015</v>
      </c>
      <c r="F35" s="290">
        <v>1112038589</v>
      </c>
      <c r="G35" s="233">
        <v>3436566</v>
      </c>
      <c r="H35" s="232" t="s">
        <v>1016</v>
      </c>
    </row>
    <row r="36" spans="1:14" ht="19.5" customHeight="1">
      <c r="A36" s="63">
        <v>33</v>
      </c>
      <c r="B36" s="166" t="s">
        <v>188</v>
      </c>
      <c r="C36" s="166" t="s">
        <v>187</v>
      </c>
      <c r="D36" s="290">
        <v>8967799</v>
      </c>
      <c r="E36" s="232" t="s">
        <v>1017</v>
      </c>
      <c r="F36" s="290">
        <v>1109934819</v>
      </c>
      <c r="G36" s="233">
        <v>3046822590</v>
      </c>
      <c r="H36" s="232" t="s">
        <v>1018</v>
      </c>
    </row>
    <row r="37" spans="1:14" ht="19.5" customHeight="1">
      <c r="A37" s="63">
        <v>34</v>
      </c>
      <c r="B37" s="166" t="s">
        <v>188</v>
      </c>
      <c r="C37" s="166" t="s">
        <v>187</v>
      </c>
      <c r="D37" s="290">
        <v>8967280</v>
      </c>
      <c r="E37" s="232" t="s">
        <v>1019</v>
      </c>
      <c r="F37" s="290">
        <v>1105363239</v>
      </c>
      <c r="G37" s="233">
        <v>3015581642</v>
      </c>
      <c r="H37" s="232" t="s">
        <v>1020</v>
      </c>
    </row>
    <row r="38" spans="1:14" ht="19.5" customHeight="1">
      <c r="A38" s="63">
        <v>35</v>
      </c>
      <c r="B38" s="166" t="s">
        <v>188</v>
      </c>
      <c r="C38" s="166" t="s">
        <v>187</v>
      </c>
      <c r="D38" s="290">
        <v>8965847</v>
      </c>
      <c r="E38" s="232" t="s">
        <v>1021</v>
      </c>
      <c r="F38" s="290">
        <v>1116433196</v>
      </c>
      <c r="G38" s="233">
        <v>3165435916</v>
      </c>
      <c r="H38" s="232" t="s">
        <v>1022</v>
      </c>
    </row>
    <row r="39" spans="1:14" ht="19.5" customHeight="1">
      <c r="A39" s="63">
        <v>36</v>
      </c>
      <c r="B39" s="166" t="s">
        <v>188</v>
      </c>
      <c r="C39" s="166" t="s">
        <v>187</v>
      </c>
      <c r="D39" s="290">
        <v>8958032</v>
      </c>
      <c r="E39" s="232" t="s">
        <v>1023</v>
      </c>
      <c r="F39" s="290">
        <v>1005891974</v>
      </c>
      <c r="G39" s="233">
        <v>3195953908</v>
      </c>
      <c r="H39" s="232" t="s">
        <v>1024</v>
      </c>
    </row>
    <row r="40" spans="1:14" ht="19.5" customHeight="1">
      <c r="A40" s="63">
        <v>37</v>
      </c>
      <c r="B40" s="166" t="s">
        <v>791</v>
      </c>
      <c r="C40" s="166" t="s">
        <v>791</v>
      </c>
      <c r="D40" s="290">
        <v>8952966</v>
      </c>
      <c r="E40" s="232" t="s">
        <v>1025</v>
      </c>
      <c r="F40" s="290">
        <v>1006101327</v>
      </c>
      <c r="G40" s="233">
        <v>3043546</v>
      </c>
      <c r="H40" s="232" t="s">
        <v>1026</v>
      </c>
    </row>
    <row r="41" spans="1:14" ht="19.5" customHeight="1">
      <c r="A41" s="63">
        <v>38</v>
      </c>
      <c r="B41" s="166" t="s">
        <v>791</v>
      </c>
      <c r="C41" s="166" t="s">
        <v>791</v>
      </c>
      <c r="D41" s="290">
        <v>8955581</v>
      </c>
      <c r="E41" s="232" t="s">
        <v>1027</v>
      </c>
      <c r="F41" s="290">
        <v>1005745110</v>
      </c>
      <c r="G41" s="233">
        <v>4819927</v>
      </c>
      <c r="H41" s="232" t="s">
        <v>1028</v>
      </c>
    </row>
    <row r="42" spans="1:14" ht="19.5" customHeight="1">
      <c r="A42" s="63">
        <v>39</v>
      </c>
      <c r="B42" s="166" t="s">
        <v>791</v>
      </c>
      <c r="C42" s="166" t="s">
        <v>791</v>
      </c>
      <c r="D42" s="290">
        <v>8966831</v>
      </c>
      <c r="E42" s="232" t="s">
        <v>1029</v>
      </c>
      <c r="F42" s="290">
        <v>1105362398</v>
      </c>
      <c r="G42" s="233">
        <v>2852999</v>
      </c>
      <c r="H42" s="232" t="s">
        <v>1030</v>
      </c>
      <c r="N42">
        <f>58+73+46+56+57+51</f>
        <v>341</v>
      </c>
    </row>
    <row r="43" spans="1:14" ht="19.5" customHeight="1">
      <c r="A43" s="63">
        <v>40</v>
      </c>
      <c r="B43" s="166" t="s">
        <v>791</v>
      </c>
      <c r="C43" s="166" t="s">
        <v>791</v>
      </c>
      <c r="D43" s="290">
        <v>8966622</v>
      </c>
      <c r="E43" s="232" t="s">
        <v>1031</v>
      </c>
      <c r="F43" s="290">
        <v>1126784332</v>
      </c>
      <c r="G43" s="233">
        <v>3138371663</v>
      </c>
      <c r="H43" s="232" t="s">
        <v>1032</v>
      </c>
    </row>
    <row r="44" spans="1:14" ht="19.5" customHeight="1">
      <c r="A44" s="63">
        <v>41</v>
      </c>
      <c r="B44" s="166" t="s">
        <v>791</v>
      </c>
      <c r="C44" s="166" t="s">
        <v>791</v>
      </c>
      <c r="D44" s="290">
        <v>8967069</v>
      </c>
      <c r="E44" s="232" t="s">
        <v>1033</v>
      </c>
      <c r="F44" s="290">
        <v>1005745247</v>
      </c>
      <c r="G44" s="233">
        <v>3771698</v>
      </c>
      <c r="H44" s="232" t="s">
        <v>1034</v>
      </c>
    </row>
    <row r="45" spans="1:14" ht="19.5" customHeight="1">
      <c r="A45" s="63">
        <v>42</v>
      </c>
      <c r="B45" s="166" t="s">
        <v>791</v>
      </c>
      <c r="C45" s="166" t="s">
        <v>794</v>
      </c>
      <c r="D45" s="290">
        <v>8958855</v>
      </c>
      <c r="E45" s="232" t="s">
        <v>1035</v>
      </c>
      <c r="F45" s="290">
        <v>1002777403</v>
      </c>
      <c r="G45" s="233">
        <v>3183534310</v>
      </c>
      <c r="H45" s="232" t="s">
        <v>1036</v>
      </c>
    </row>
    <row r="46" spans="1:14" ht="19.5" customHeight="1">
      <c r="A46" s="63">
        <v>43</v>
      </c>
      <c r="B46" s="166" t="s">
        <v>1037</v>
      </c>
      <c r="C46" s="166" t="s">
        <v>794</v>
      </c>
      <c r="D46" s="290">
        <v>8954050</v>
      </c>
      <c r="E46" s="232" t="s">
        <v>1038</v>
      </c>
      <c r="F46" s="290">
        <v>1005976603</v>
      </c>
      <c r="G46" s="233">
        <v>3070477</v>
      </c>
      <c r="H46" s="232" t="s">
        <v>1039</v>
      </c>
    </row>
    <row r="47" spans="1:14" ht="19.5" customHeight="1">
      <c r="A47" s="63">
        <v>44</v>
      </c>
      <c r="B47" s="166" t="s">
        <v>1037</v>
      </c>
      <c r="C47" s="166" t="s">
        <v>794</v>
      </c>
      <c r="D47" s="290">
        <v>8966355</v>
      </c>
      <c r="E47" s="232" t="s">
        <v>1040</v>
      </c>
      <c r="F47" s="290">
        <v>1006206513</v>
      </c>
      <c r="G47" s="233">
        <v>5585050</v>
      </c>
      <c r="H47" s="232" t="s">
        <v>1041</v>
      </c>
    </row>
    <row r="48" spans="1:14" ht="19.5" customHeight="1">
      <c r="A48" s="63">
        <v>45</v>
      </c>
      <c r="B48" s="166" t="s">
        <v>1037</v>
      </c>
      <c r="C48" s="166" t="s">
        <v>794</v>
      </c>
      <c r="D48" s="290">
        <v>8946868</v>
      </c>
      <c r="E48" s="232" t="s">
        <v>1042</v>
      </c>
      <c r="F48" s="290">
        <v>1006226852</v>
      </c>
      <c r="G48" s="233">
        <v>3008684450</v>
      </c>
      <c r="H48" s="232" t="s">
        <v>1043</v>
      </c>
    </row>
    <row r="49" spans="1:8" ht="19.5" customHeight="1">
      <c r="A49" s="63">
        <v>46</v>
      </c>
      <c r="B49" s="166" t="s">
        <v>1044</v>
      </c>
      <c r="C49" s="166" t="s">
        <v>797</v>
      </c>
      <c r="D49" s="290">
        <v>8966194</v>
      </c>
      <c r="E49" s="232" t="s">
        <v>1045</v>
      </c>
      <c r="F49" s="290">
        <v>1007361200</v>
      </c>
      <c r="G49" s="233">
        <v>3105599952</v>
      </c>
      <c r="H49" s="232" t="s">
        <v>1046</v>
      </c>
    </row>
    <row r="50" spans="1:8" ht="19.5" customHeight="1">
      <c r="A50" s="63">
        <v>47</v>
      </c>
      <c r="B50" s="166" t="s">
        <v>1044</v>
      </c>
      <c r="C50" s="166" t="s">
        <v>797</v>
      </c>
      <c r="D50" s="290">
        <v>8955798</v>
      </c>
      <c r="E50" s="232" t="s">
        <v>1047</v>
      </c>
      <c r="F50" s="290">
        <v>1005897798</v>
      </c>
      <c r="G50" s="233">
        <v>4017616</v>
      </c>
      <c r="H50" s="232" t="s">
        <v>1048</v>
      </c>
    </row>
    <row r="51" spans="1:8" ht="19.5" customHeight="1">
      <c r="A51" s="63">
        <v>48</v>
      </c>
      <c r="B51" s="166" t="s">
        <v>1044</v>
      </c>
      <c r="C51" s="166" t="s">
        <v>797</v>
      </c>
      <c r="D51" s="290">
        <v>8962994</v>
      </c>
      <c r="E51" s="232" t="s">
        <v>1049</v>
      </c>
      <c r="F51" s="290">
        <v>1006436806</v>
      </c>
      <c r="G51" s="233">
        <v>6954317</v>
      </c>
      <c r="H51" s="232" t="s">
        <v>1050</v>
      </c>
    </row>
    <row r="52" spans="1:8" ht="19.5" customHeight="1">
      <c r="A52" s="63">
        <v>49</v>
      </c>
      <c r="B52" s="166" t="s">
        <v>797</v>
      </c>
      <c r="C52" s="166" t="s">
        <v>797</v>
      </c>
      <c r="D52" s="290">
        <v>8958727</v>
      </c>
      <c r="E52" s="232" t="s">
        <v>1051</v>
      </c>
      <c r="F52" s="290">
        <v>1193591627</v>
      </c>
      <c r="G52" s="233">
        <v>3049294</v>
      </c>
      <c r="H52" s="232" t="s">
        <v>1052</v>
      </c>
    </row>
    <row r="53" spans="1:8" ht="19.5" customHeight="1">
      <c r="A53" s="63">
        <v>50</v>
      </c>
      <c r="B53" s="166" t="s">
        <v>797</v>
      </c>
      <c r="C53" s="166" t="s">
        <v>800</v>
      </c>
      <c r="D53" s="290">
        <v>8959322</v>
      </c>
      <c r="E53" s="232" t="s">
        <v>1053</v>
      </c>
      <c r="F53" s="290">
        <v>1007026006</v>
      </c>
      <c r="G53" s="233">
        <v>3003465898</v>
      </c>
      <c r="H53" s="232" t="s">
        <v>1054</v>
      </c>
    </row>
    <row r="54" spans="1:8" ht="19.5" customHeight="1">
      <c r="A54" s="63">
        <v>51</v>
      </c>
      <c r="B54" s="166" t="s">
        <v>797</v>
      </c>
      <c r="C54" s="166" t="s">
        <v>800</v>
      </c>
      <c r="D54" s="290">
        <v>8967145</v>
      </c>
      <c r="E54" s="232" t="s">
        <v>1055</v>
      </c>
      <c r="F54" s="290">
        <v>1000183033</v>
      </c>
      <c r="G54" s="233">
        <v>3057302</v>
      </c>
      <c r="H54" s="232" t="s">
        <v>1056</v>
      </c>
    </row>
    <row r="55" spans="1:8" ht="19.5" customHeight="1">
      <c r="A55" s="63">
        <v>52</v>
      </c>
      <c r="B55" s="166" t="s">
        <v>797</v>
      </c>
      <c r="C55" s="166" t="s">
        <v>800</v>
      </c>
      <c r="D55" s="290">
        <v>8967608</v>
      </c>
      <c r="E55" s="232" t="s">
        <v>1057</v>
      </c>
      <c r="F55" s="290">
        <v>1006106917</v>
      </c>
      <c r="G55" s="233">
        <v>3104001025</v>
      </c>
      <c r="H55" s="232" t="s">
        <v>1058</v>
      </c>
    </row>
    <row r="56" spans="1:8" ht="19.5" customHeight="1">
      <c r="A56" s="63">
        <v>53</v>
      </c>
      <c r="B56" s="166" t="s">
        <v>797</v>
      </c>
      <c r="C56" s="166" t="s">
        <v>800</v>
      </c>
      <c r="D56" s="290">
        <v>8966149</v>
      </c>
      <c r="E56" s="232" t="s">
        <v>1059</v>
      </c>
      <c r="F56" s="290">
        <v>1007602821</v>
      </c>
      <c r="G56" s="233">
        <v>3780652</v>
      </c>
      <c r="H56" s="232" t="s">
        <v>1060</v>
      </c>
    </row>
    <row r="57" spans="1:8" ht="19.5" customHeight="1">
      <c r="A57" s="63">
        <v>54</v>
      </c>
      <c r="B57" s="166" t="s">
        <v>797</v>
      </c>
      <c r="C57" s="166" t="s">
        <v>800</v>
      </c>
      <c r="D57" s="290">
        <v>8966099</v>
      </c>
      <c r="E57" s="232" t="s">
        <v>1061</v>
      </c>
      <c r="F57" s="290">
        <v>1193564671</v>
      </c>
      <c r="G57" s="233">
        <v>3730824</v>
      </c>
      <c r="H57" s="232" t="s">
        <v>1062</v>
      </c>
    </row>
  </sheetData>
  <sortState xmlns:xlrd2="http://schemas.microsoft.com/office/spreadsheetml/2017/richdata2" ref="B4:H57">
    <sortCondition ref="B4:B57"/>
  </sortState>
  <mergeCells count="3">
    <mergeCell ref="A1:H1"/>
    <mergeCell ref="A2:H2"/>
    <mergeCell ref="K4:L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3ACF-370D-4A63-9A6F-B9583A29C7AF}">
  <sheetPr>
    <tabColor rgb="FF92D050"/>
  </sheetPr>
  <dimension ref="A1:V21"/>
  <sheetViews>
    <sheetView zoomScale="90" zoomScaleNormal="90" workbookViewId="0">
      <selection activeCell="C6" sqref="C6:C9"/>
    </sheetView>
  </sheetViews>
  <sheetFormatPr defaultColWidth="9.85546875" defaultRowHeight="36" customHeight="1"/>
  <cols>
    <col min="2" max="2" width="19" customWidth="1"/>
    <col min="3" max="3" width="38.5703125" customWidth="1"/>
    <col min="5" max="13" width="15.42578125" style="1" customWidth="1"/>
    <col min="14" max="22" width="14.85546875" customWidth="1"/>
  </cols>
  <sheetData>
    <row r="1" spans="1:22" ht="36" customHeight="1">
      <c r="A1" s="210" t="s">
        <v>1063</v>
      </c>
      <c r="B1" s="211" t="s">
        <v>1064</v>
      </c>
      <c r="C1" s="212" t="s">
        <v>728</v>
      </c>
      <c r="D1" s="195" t="s">
        <v>1065</v>
      </c>
      <c r="E1" s="167" t="s">
        <v>1066</v>
      </c>
      <c r="F1" s="168" t="s">
        <v>1067</v>
      </c>
      <c r="G1" s="168" t="s">
        <v>1068</v>
      </c>
      <c r="H1" s="169" t="s">
        <v>1069</v>
      </c>
      <c r="I1" s="169" t="s">
        <v>1070</v>
      </c>
      <c r="J1" s="169" t="s">
        <v>1071</v>
      </c>
      <c r="K1" s="169" t="s">
        <v>1072</v>
      </c>
      <c r="L1" s="169" t="s">
        <v>1073</v>
      </c>
      <c r="M1" s="169" t="s">
        <v>1074</v>
      </c>
      <c r="N1" s="169" t="s">
        <v>1075</v>
      </c>
      <c r="O1" s="169" t="s">
        <v>1076</v>
      </c>
      <c r="P1" s="169" t="s">
        <v>1077</v>
      </c>
      <c r="Q1" s="169" t="s">
        <v>1078</v>
      </c>
      <c r="R1" s="169" t="s">
        <v>1079</v>
      </c>
      <c r="S1" s="169" t="s">
        <v>1080</v>
      </c>
      <c r="T1" s="169" t="s">
        <v>1081</v>
      </c>
      <c r="U1" s="169" t="s">
        <v>1082</v>
      </c>
      <c r="V1" s="169" t="s">
        <v>1083</v>
      </c>
    </row>
    <row r="2" spans="1:22" ht="21.75" customHeight="1">
      <c r="A2" s="347" t="s">
        <v>1084</v>
      </c>
      <c r="B2" s="348" t="s">
        <v>1085</v>
      </c>
      <c r="C2" s="213" t="s">
        <v>1086</v>
      </c>
      <c r="D2" s="354" t="s">
        <v>1087</v>
      </c>
      <c r="E2" s="345" t="s">
        <v>1088</v>
      </c>
      <c r="F2" s="342" t="s">
        <v>1088</v>
      </c>
      <c r="G2" s="342" t="s">
        <v>1088</v>
      </c>
      <c r="H2" s="345" t="s">
        <v>1089</v>
      </c>
      <c r="I2" s="342" t="s">
        <v>1089</v>
      </c>
      <c r="J2" s="342" t="s">
        <v>1089</v>
      </c>
      <c r="K2" s="340" t="s">
        <v>1090</v>
      </c>
      <c r="L2" s="340" t="s">
        <v>1090</v>
      </c>
      <c r="M2" s="340" t="s">
        <v>1090</v>
      </c>
      <c r="N2" s="340" t="s">
        <v>1091</v>
      </c>
      <c r="O2" s="340" t="s">
        <v>1091</v>
      </c>
      <c r="P2" s="340" t="s">
        <v>1091</v>
      </c>
      <c r="Q2" s="338" t="s">
        <v>1092</v>
      </c>
      <c r="R2" s="338" t="s">
        <v>1092</v>
      </c>
      <c r="S2" s="338" t="s">
        <v>1092</v>
      </c>
      <c r="T2" s="338" t="s">
        <v>1093</v>
      </c>
      <c r="U2" s="338" t="s">
        <v>1093</v>
      </c>
      <c r="V2" s="338" t="s">
        <v>1093</v>
      </c>
    </row>
    <row r="3" spans="1:22" ht="21.75" customHeight="1">
      <c r="A3" s="347"/>
      <c r="B3" s="348"/>
      <c r="C3" s="213" t="s">
        <v>1094</v>
      </c>
      <c r="D3" s="354"/>
      <c r="E3" s="346"/>
      <c r="F3" s="343"/>
      <c r="G3" s="343"/>
      <c r="H3" s="346"/>
      <c r="I3" s="343"/>
      <c r="J3" s="343"/>
      <c r="K3" s="340"/>
      <c r="L3" s="340"/>
      <c r="M3" s="340"/>
      <c r="N3" s="340"/>
      <c r="O3" s="340"/>
      <c r="P3" s="340"/>
      <c r="Q3" s="338"/>
      <c r="R3" s="338"/>
      <c r="S3" s="338"/>
      <c r="T3" s="338"/>
      <c r="U3" s="338"/>
      <c r="V3" s="338"/>
    </row>
    <row r="4" spans="1:22" ht="21.75" customHeight="1">
      <c r="A4" s="347"/>
      <c r="B4" s="348"/>
      <c r="C4" s="213" t="s">
        <v>1095</v>
      </c>
      <c r="D4" s="354"/>
      <c r="E4" s="346"/>
      <c r="F4" s="343"/>
      <c r="G4" s="343"/>
      <c r="H4" s="346"/>
      <c r="I4" s="343"/>
      <c r="J4" s="343"/>
      <c r="K4" s="340"/>
      <c r="L4" s="340"/>
      <c r="M4" s="340"/>
      <c r="N4" s="340"/>
      <c r="O4" s="340"/>
      <c r="P4" s="340"/>
      <c r="Q4" s="338"/>
      <c r="R4" s="338"/>
      <c r="S4" s="338"/>
      <c r="T4" s="338"/>
      <c r="U4" s="338"/>
      <c r="V4" s="338"/>
    </row>
    <row r="5" spans="1:22" ht="21.75" customHeight="1">
      <c r="A5" s="347"/>
      <c r="B5" s="348"/>
      <c r="C5" s="214" t="s">
        <v>1096</v>
      </c>
      <c r="D5" s="354"/>
      <c r="E5" s="349"/>
      <c r="F5" s="344"/>
      <c r="G5" s="344"/>
      <c r="H5" s="346"/>
      <c r="I5" s="343"/>
      <c r="J5" s="343"/>
      <c r="K5" s="341"/>
      <c r="L5" s="341"/>
      <c r="M5" s="341"/>
      <c r="N5" s="340"/>
      <c r="O5" s="340"/>
      <c r="P5" s="340"/>
      <c r="Q5" s="339"/>
      <c r="R5" s="339"/>
      <c r="S5" s="339"/>
      <c r="T5" s="338"/>
      <c r="U5" s="338"/>
      <c r="V5" s="338"/>
    </row>
    <row r="6" spans="1:22" ht="21.75" customHeight="1">
      <c r="A6" s="350" t="s">
        <v>1097</v>
      </c>
      <c r="B6" s="351" t="s">
        <v>1098</v>
      </c>
      <c r="C6" s="216" t="s">
        <v>1099</v>
      </c>
      <c r="D6" s="355"/>
      <c r="E6" s="345" t="s">
        <v>1089</v>
      </c>
      <c r="F6" s="342" t="s">
        <v>1089</v>
      </c>
      <c r="G6" s="342" t="s">
        <v>1089</v>
      </c>
      <c r="H6" s="345" t="s">
        <v>1088</v>
      </c>
      <c r="I6" s="342" t="s">
        <v>1088</v>
      </c>
      <c r="J6" s="342" t="s">
        <v>1088</v>
      </c>
      <c r="K6" s="340" t="s">
        <v>1091</v>
      </c>
      <c r="L6" s="340" t="s">
        <v>1091</v>
      </c>
      <c r="M6" s="340" t="s">
        <v>1091</v>
      </c>
      <c r="N6" s="340" t="s">
        <v>1090</v>
      </c>
      <c r="O6" s="340" t="s">
        <v>1090</v>
      </c>
      <c r="P6" s="340" t="s">
        <v>1090</v>
      </c>
      <c r="Q6" s="338" t="s">
        <v>1093</v>
      </c>
      <c r="R6" s="338" t="s">
        <v>1093</v>
      </c>
      <c r="S6" s="338" t="s">
        <v>1093</v>
      </c>
      <c r="T6" s="338" t="s">
        <v>1100</v>
      </c>
      <c r="U6" s="338" t="s">
        <v>1092</v>
      </c>
      <c r="V6" s="338" t="s">
        <v>1092</v>
      </c>
    </row>
    <row r="7" spans="1:22" ht="21.75" customHeight="1">
      <c r="A7" s="350"/>
      <c r="B7" s="351"/>
      <c r="C7" s="216" t="s">
        <v>1101</v>
      </c>
      <c r="D7" s="355"/>
      <c r="E7" s="346"/>
      <c r="F7" s="343"/>
      <c r="G7" s="343"/>
      <c r="H7" s="346"/>
      <c r="I7" s="343"/>
      <c r="J7" s="343"/>
      <c r="K7" s="340"/>
      <c r="L7" s="340"/>
      <c r="M7" s="340"/>
      <c r="N7" s="340"/>
      <c r="O7" s="340"/>
      <c r="P7" s="340"/>
      <c r="Q7" s="338"/>
      <c r="R7" s="338"/>
      <c r="S7" s="338"/>
      <c r="T7" s="338"/>
      <c r="U7" s="338"/>
      <c r="V7" s="338"/>
    </row>
    <row r="8" spans="1:22" ht="21.75" customHeight="1">
      <c r="A8" s="350"/>
      <c r="B8" s="351"/>
      <c r="C8" s="216" t="s">
        <v>1102</v>
      </c>
      <c r="D8" s="355"/>
      <c r="E8" s="346"/>
      <c r="F8" s="343"/>
      <c r="G8" s="343"/>
      <c r="H8" s="346"/>
      <c r="I8" s="343"/>
      <c r="J8" s="343"/>
      <c r="K8" s="340"/>
      <c r="L8" s="340"/>
      <c r="M8" s="340"/>
      <c r="N8" s="340"/>
      <c r="O8" s="340"/>
      <c r="P8" s="340"/>
      <c r="Q8" s="338"/>
      <c r="R8" s="338"/>
      <c r="S8" s="338"/>
      <c r="T8" s="338"/>
      <c r="U8" s="338"/>
      <c r="V8" s="338"/>
    </row>
    <row r="9" spans="1:22" ht="15.6" customHeight="1">
      <c r="A9" s="350"/>
      <c r="B9" s="351"/>
      <c r="C9" s="217" t="s">
        <v>1103</v>
      </c>
      <c r="D9" s="355"/>
      <c r="E9" s="346"/>
      <c r="F9" s="343"/>
      <c r="G9" s="343"/>
      <c r="H9" s="349"/>
      <c r="I9" s="344"/>
      <c r="J9" s="344"/>
      <c r="K9" s="340"/>
      <c r="L9" s="340"/>
      <c r="M9" s="340"/>
      <c r="N9" s="341"/>
      <c r="O9" s="341"/>
      <c r="P9" s="341"/>
      <c r="Q9" s="338"/>
      <c r="R9" s="338"/>
      <c r="S9" s="338"/>
      <c r="T9" s="338"/>
      <c r="U9" s="338"/>
      <c r="V9" s="338"/>
    </row>
    <row r="10" spans="1:22" ht="15.6" customHeight="1">
      <c r="A10" s="218"/>
      <c r="B10" s="218"/>
      <c r="C10" s="219"/>
      <c r="D10" s="354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</row>
    <row r="11" spans="1:22" ht="15.6" customHeight="1">
      <c r="A11" s="218"/>
      <c r="B11" s="218"/>
      <c r="C11" s="228"/>
      <c r="D11" s="354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</row>
    <row r="12" spans="1:22" ht="32.25" customHeight="1">
      <c r="A12" s="229" t="s">
        <v>1063</v>
      </c>
      <c r="B12" s="215" t="s">
        <v>1064</v>
      </c>
      <c r="C12" s="224" t="s">
        <v>728</v>
      </c>
      <c r="D12" s="356"/>
      <c r="E12" s="330" t="s">
        <v>1104</v>
      </c>
      <c r="F12" s="330"/>
      <c r="G12" s="330" t="s">
        <v>1105</v>
      </c>
      <c r="H12" s="330"/>
      <c r="I12" s="334" t="s">
        <v>1106</v>
      </c>
      <c r="J12" s="330"/>
      <c r="K12" s="330" t="s">
        <v>1107</v>
      </c>
      <c r="L12" s="330"/>
      <c r="M12" s="330" t="s">
        <v>903</v>
      </c>
      <c r="N12" s="330"/>
      <c r="O12" s="330" t="s">
        <v>1108</v>
      </c>
      <c r="P12" s="330"/>
      <c r="Q12" s="199"/>
      <c r="R12" s="199"/>
      <c r="S12" s="199"/>
      <c r="T12" s="199"/>
      <c r="U12" s="199"/>
      <c r="V12" s="199"/>
    </row>
    <row r="13" spans="1:22" ht="21.75" customHeight="1">
      <c r="A13" s="350" t="s">
        <v>1109</v>
      </c>
      <c r="B13" s="357" t="s">
        <v>1110</v>
      </c>
      <c r="C13" s="213" t="s">
        <v>1111</v>
      </c>
      <c r="D13" s="354"/>
      <c r="E13" s="326" t="s">
        <v>1112</v>
      </c>
      <c r="F13" s="327"/>
      <c r="G13" s="326" t="s">
        <v>1113</v>
      </c>
      <c r="H13" s="327"/>
      <c r="I13" s="325" t="s">
        <v>1114</v>
      </c>
      <c r="J13" s="325"/>
      <c r="K13" s="325" t="s">
        <v>1115</v>
      </c>
      <c r="L13" s="325"/>
      <c r="M13" s="352" t="s">
        <v>1116</v>
      </c>
      <c r="N13" s="352"/>
      <c r="O13" s="352" t="s">
        <v>1117</v>
      </c>
      <c r="P13" s="352"/>
      <c r="Q13" s="324"/>
      <c r="R13" s="324"/>
      <c r="S13" s="324"/>
      <c r="T13" s="324"/>
      <c r="U13" s="324"/>
      <c r="V13" s="324"/>
    </row>
    <row r="14" spans="1:22" ht="21.75" customHeight="1">
      <c r="A14" s="350"/>
      <c r="B14" s="351"/>
      <c r="C14" s="213" t="s">
        <v>1118</v>
      </c>
      <c r="D14" s="354"/>
      <c r="E14" s="328"/>
      <c r="F14" s="329"/>
      <c r="G14" s="328"/>
      <c r="H14" s="329"/>
      <c r="I14" s="325"/>
      <c r="J14" s="325"/>
      <c r="K14" s="325"/>
      <c r="L14" s="325"/>
      <c r="M14" s="352"/>
      <c r="N14" s="352"/>
      <c r="O14" s="352"/>
      <c r="P14" s="352"/>
      <c r="Q14" s="324"/>
      <c r="R14" s="324"/>
      <c r="S14" s="324"/>
      <c r="T14" s="324"/>
      <c r="U14" s="324"/>
      <c r="V14" s="324"/>
    </row>
    <row r="15" spans="1:22" ht="21.75" customHeight="1">
      <c r="A15" s="350"/>
      <c r="B15" s="351"/>
      <c r="C15" s="214" t="s">
        <v>1119</v>
      </c>
      <c r="D15" s="354"/>
      <c r="E15" s="328"/>
      <c r="F15" s="329"/>
      <c r="G15" s="328"/>
      <c r="H15" s="329"/>
      <c r="I15" s="325"/>
      <c r="J15" s="325"/>
      <c r="K15" s="325"/>
      <c r="L15" s="325"/>
      <c r="M15" s="352"/>
      <c r="N15" s="352"/>
      <c r="O15" s="352"/>
      <c r="P15" s="352"/>
      <c r="Q15" s="324"/>
      <c r="R15" s="324"/>
      <c r="S15" s="324"/>
      <c r="T15" s="324"/>
      <c r="U15" s="324"/>
      <c r="V15" s="324"/>
    </row>
    <row r="16" spans="1:22" ht="28.5" customHeight="1">
      <c r="A16" s="350"/>
      <c r="B16" s="225" t="s">
        <v>1064</v>
      </c>
      <c r="C16" s="220" t="s">
        <v>728</v>
      </c>
      <c r="D16" s="356"/>
      <c r="E16" s="193" t="s">
        <v>1120</v>
      </c>
      <c r="F16" s="193" t="s">
        <v>1121</v>
      </c>
      <c r="G16" s="193" t="s">
        <v>1122</v>
      </c>
      <c r="H16" s="193" t="s">
        <v>1123</v>
      </c>
      <c r="I16" s="193" t="s">
        <v>1124</v>
      </c>
      <c r="J16" s="193" t="s">
        <v>1125</v>
      </c>
      <c r="K16" s="193" t="s">
        <v>1126</v>
      </c>
      <c r="L16" s="193" t="s">
        <v>1127</v>
      </c>
      <c r="M16" s="193" t="s">
        <v>1128</v>
      </c>
      <c r="N16" s="193" t="s">
        <v>1129</v>
      </c>
      <c r="O16" s="193" t="s">
        <v>1130</v>
      </c>
      <c r="P16" s="193" t="s">
        <v>1131</v>
      </c>
      <c r="Q16" s="324"/>
      <c r="R16" s="324"/>
      <c r="S16" s="324"/>
      <c r="T16" s="324"/>
      <c r="U16" s="324"/>
      <c r="V16" s="324"/>
    </row>
    <row r="17" spans="1:22" ht="21.75" customHeight="1">
      <c r="A17" s="350"/>
      <c r="B17" s="222" t="s">
        <v>1132</v>
      </c>
      <c r="C17" s="223" t="s">
        <v>1133</v>
      </c>
      <c r="D17" s="356"/>
      <c r="E17" s="157" t="s">
        <v>188</v>
      </c>
      <c r="F17" s="157" t="s">
        <v>187</v>
      </c>
      <c r="G17" s="157" t="s">
        <v>181</v>
      </c>
      <c r="H17" s="157" t="s">
        <v>189</v>
      </c>
      <c r="I17" s="208" t="s">
        <v>179</v>
      </c>
      <c r="J17" s="208" t="s">
        <v>178</v>
      </c>
      <c r="K17" s="158" t="s">
        <v>172</v>
      </c>
      <c r="L17" s="158" t="s">
        <v>180</v>
      </c>
      <c r="M17" s="209" t="s">
        <v>797</v>
      </c>
      <c r="N17" s="209" t="s">
        <v>800</v>
      </c>
      <c r="O17" s="209" t="s">
        <v>791</v>
      </c>
      <c r="P17" s="209" t="s">
        <v>794</v>
      </c>
      <c r="Q17" s="199"/>
      <c r="R17" s="199"/>
      <c r="S17" s="199"/>
      <c r="T17" s="199"/>
      <c r="U17" s="199"/>
      <c r="V17" s="199"/>
    </row>
    <row r="18" spans="1:22" ht="29.1" customHeight="1">
      <c r="A18" s="350"/>
      <c r="B18" s="222" t="s">
        <v>1134</v>
      </c>
      <c r="C18" s="213" t="s">
        <v>1135</v>
      </c>
      <c r="D18" s="356"/>
      <c r="E18" s="157" t="s">
        <v>187</v>
      </c>
      <c r="F18" s="157" t="s">
        <v>188</v>
      </c>
      <c r="G18" s="157" t="s">
        <v>189</v>
      </c>
      <c r="H18" s="157" t="s">
        <v>181</v>
      </c>
      <c r="I18" s="208" t="s">
        <v>178</v>
      </c>
      <c r="J18" s="208" t="s">
        <v>179</v>
      </c>
      <c r="K18" s="158" t="s">
        <v>180</v>
      </c>
      <c r="L18" s="158" t="s">
        <v>172</v>
      </c>
      <c r="M18" s="209" t="s">
        <v>800</v>
      </c>
      <c r="N18" s="209" t="s">
        <v>797</v>
      </c>
      <c r="O18" s="209" t="s">
        <v>794</v>
      </c>
      <c r="P18" s="209" t="s">
        <v>791</v>
      </c>
      <c r="Q18" s="199"/>
      <c r="R18" s="199"/>
      <c r="S18" s="199"/>
      <c r="T18" s="199"/>
      <c r="U18" s="199"/>
      <c r="V18" s="199"/>
    </row>
    <row r="19" spans="1:22" ht="21.75" customHeight="1">
      <c r="A19" s="226" t="s">
        <v>1063</v>
      </c>
      <c r="B19" s="230" t="s">
        <v>1064</v>
      </c>
      <c r="C19" s="221" t="s">
        <v>728</v>
      </c>
      <c r="D19" s="354"/>
      <c r="E19" s="332" t="s">
        <v>1136</v>
      </c>
      <c r="F19" s="333"/>
      <c r="G19" s="333"/>
      <c r="H19" s="334"/>
      <c r="I19" s="332" t="s">
        <v>1137</v>
      </c>
      <c r="J19" s="333"/>
      <c r="K19" s="333"/>
      <c r="L19" s="334"/>
      <c r="M19" s="330" t="s">
        <v>1138</v>
      </c>
      <c r="N19" s="330"/>
      <c r="O19" s="330"/>
      <c r="P19" s="330"/>
      <c r="Q19" s="199"/>
      <c r="R19" s="199"/>
      <c r="S19" s="199"/>
      <c r="T19" s="199"/>
      <c r="U19" s="199"/>
      <c r="V19" s="199"/>
    </row>
    <row r="20" spans="1:22" ht="21.75" customHeight="1">
      <c r="A20" s="353" t="s">
        <v>1139</v>
      </c>
      <c r="B20" s="350" t="s">
        <v>1140</v>
      </c>
      <c r="C20" s="227" t="s">
        <v>1141</v>
      </c>
      <c r="D20" s="354"/>
      <c r="E20" s="336" t="s">
        <v>1093</v>
      </c>
      <c r="F20" s="337"/>
      <c r="G20" s="337"/>
      <c r="H20" s="337"/>
      <c r="I20" s="335" t="s">
        <v>1089</v>
      </c>
      <c r="J20" s="335"/>
      <c r="K20" s="335"/>
      <c r="L20" s="335"/>
      <c r="M20" s="331" t="s">
        <v>1091</v>
      </c>
      <c r="N20" s="331"/>
      <c r="O20" s="331"/>
      <c r="P20" s="331"/>
      <c r="Q20" s="199"/>
      <c r="R20" s="199"/>
      <c r="S20" s="199"/>
      <c r="T20" s="199"/>
      <c r="U20" s="199"/>
      <c r="V20" s="199"/>
    </row>
    <row r="21" spans="1:22" ht="21.75" customHeight="1">
      <c r="A21" s="353"/>
      <c r="B21" s="350"/>
      <c r="C21" s="227" t="s">
        <v>1142</v>
      </c>
      <c r="D21" s="354"/>
      <c r="E21" s="336" t="s">
        <v>1092</v>
      </c>
      <c r="F21" s="337"/>
      <c r="G21" s="337"/>
      <c r="H21" s="337"/>
      <c r="I21" s="335" t="s">
        <v>1088</v>
      </c>
      <c r="J21" s="335"/>
      <c r="K21" s="335"/>
      <c r="L21" s="335"/>
      <c r="M21" s="331" t="s">
        <v>1090</v>
      </c>
      <c r="N21" s="331"/>
      <c r="O21" s="331"/>
      <c r="P21" s="331"/>
      <c r="Q21" s="1"/>
      <c r="R21" s="1"/>
      <c r="S21" s="1"/>
      <c r="T21" s="1"/>
      <c r="U21" s="1"/>
      <c r="V21" s="1"/>
    </row>
  </sheetData>
  <mergeCells count="72">
    <mergeCell ref="V13:V16"/>
    <mergeCell ref="M13:N15"/>
    <mergeCell ref="O13:P15"/>
    <mergeCell ref="A20:A21"/>
    <mergeCell ref="B20:B21"/>
    <mergeCell ref="D2:D21"/>
    <mergeCell ref="G2:G5"/>
    <mergeCell ref="Q13:Q16"/>
    <mergeCell ref="R13:R16"/>
    <mergeCell ref="S13:S16"/>
    <mergeCell ref="O12:P12"/>
    <mergeCell ref="M12:N12"/>
    <mergeCell ref="K13:L15"/>
    <mergeCell ref="K12:L12"/>
    <mergeCell ref="A13:A18"/>
    <mergeCell ref="B13:B15"/>
    <mergeCell ref="I12:J12"/>
    <mergeCell ref="A6:A9"/>
    <mergeCell ref="B6:B9"/>
    <mergeCell ref="E6:E9"/>
    <mergeCell ref="F6:F9"/>
    <mergeCell ref="G6:G9"/>
    <mergeCell ref="H6:H9"/>
    <mergeCell ref="K2:K5"/>
    <mergeCell ref="L2:L5"/>
    <mergeCell ref="A2:A5"/>
    <mergeCell ref="B2:B5"/>
    <mergeCell ref="E2:E5"/>
    <mergeCell ref="F2:F5"/>
    <mergeCell ref="T2:T5"/>
    <mergeCell ref="U2:U5"/>
    <mergeCell ref="V2:V5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O2:O5"/>
    <mergeCell ref="P2:P5"/>
    <mergeCell ref="Q2:Q5"/>
    <mergeCell ref="N2:N5"/>
    <mergeCell ref="E21:H21"/>
    <mergeCell ref="E20:H20"/>
    <mergeCell ref="R2:R5"/>
    <mergeCell ref="S2:S5"/>
    <mergeCell ref="G12:H12"/>
    <mergeCell ref="E12:F12"/>
    <mergeCell ref="M2:M5"/>
    <mergeCell ref="I6:I9"/>
    <mergeCell ref="J6:J9"/>
    <mergeCell ref="K6:K9"/>
    <mergeCell ref="L6:L9"/>
    <mergeCell ref="H2:H5"/>
    <mergeCell ref="M6:M9"/>
    <mergeCell ref="E19:H19"/>
    <mergeCell ref="I2:I5"/>
    <mergeCell ref="J2:J5"/>
    <mergeCell ref="M19:P19"/>
    <mergeCell ref="M20:P20"/>
    <mergeCell ref="M21:P21"/>
    <mergeCell ref="I19:L19"/>
    <mergeCell ref="I20:L20"/>
    <mergeCell ref="I21:L21"/>
    <mergeCell ref="T13:T16"/>
    <mergeCell ref="U13:U16"/>
    <mergeCell ref="I13:J15"/>
    <mergeCell ref="G13:H15"/>
    <mergeCell ref="E13:F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668028ED3D3F45878DA01018FF1D1B" ma:contentTypeVersion="13" ma:contentTypeDescription="Crear nuevo documento." ma:contentTypeScope="" ma:versionID="d3eb34c6880b23f6a29dd36663449102">
  <xsd:schema xmlns:xsd="http://www.w3.org/2001/XMLSchema" xmlns:xs="http://www.w3.org/2001/XMLSchema" xmlns:p="http://schemas.microsoft.com/office/2006/metadata/properties" xmlns:ns2="ac83e701-ab71-4299-9b1a-bd883fca477a" xmlns:ns3="1721e71f-2280-4b93-8024-88fbe2cb8768" targetNamespace="http://schemas.microsoft.com/office/2006/metadata/properties" ma:root="true" ma:fieldsID="b4e300e7a0ed8974abbd9bef6da62ce3" ns2:_="" ns3:_="">
    <xsd:import namespace="ac83e701-ab71-4299-9b1a-bd883fca477a"/>
    <xsd:import namespace="1721e71f-2280-4b93-8024-88fbe2cb8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3e701-ab71-4299-9b1a-bd883fca47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47ec1249-a48c-4968-bfb0-a566660bd3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1e71f-2280-4b93-8024-88fbe2cb876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a85518f-0495-4e7b-bf0d-b32182d94ec0}" ma:internalName="TaxCatchAll" ma:showField="CatchAllData" ma:web="1721e71f-2280-4b93-8024-88fbe2cb8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21e71f-2280-4b93-8024-88fbe2cb8768" xsi:nil="true"/>
    <lcf76f155ced4ddcb4097134ff3c332f xmlns="ac83e701-ab71-4299-9b1a-bd883fca477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FA2B1D-8F66-405F-9BFB-5ABE0BE575C8}"/>
</file>

<file path=customXml/itemProps2.xml><?xml version="1.0" encoding="utf-8"?>
<ds:datastoreItem xmlns:ds="http://schemas.openxmlformats.org/officeDocument/2006/customXml" ds:itemID="{3F220227-EF68-4493-A818-7D22509B3A84}"/>
</file>

<file path=customXml/itemProps3.xml><?xml version="1.0" encoding="utf-8"?>
<ds:datastoreItem xmlns:ds="http://schemas.openxmlformats.org/officeDocument/2006/customXml" ds:itemID="{6B80F81B-7526-4485-A940-DD1EA273AC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Alberto Arango Cardona</dc:creator>
  <cp:keywords/>
  <dc:description/>
  <cp:lastModifiedBy>documentos.medicina</cp:lastModifiedBy>
  <cp:revision/>
  <dcterms:created xsi:type="dcterms:W3CDTF">2015-06-05T18:19:34Z</dcterms:created>
  <dcterms:modified xsi:type="dcterms:W3CDTF">2026-06-01T21:24:04Z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0x01010060668028ED3D3F45878DA01018FF1D1B</vt:lpwstr>
  </property>
  <property fmtid="{D5CDD505-2E9C-101B-9397-08002B2CF9AE}" pid="3" name="MediaServiceImageTags">
    <vt:lpwstr/>
  </property>
</Properties>
</file>