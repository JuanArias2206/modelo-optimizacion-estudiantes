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Default Extension="vml" ContentType="application/vnd.openxmlformats-officedocument.vmlDrawing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documentos_medicina_javerianacali_edu_co/Documents/Convenios Docencia Servicio-PASADA/Plan Estrategico/"/>
    </mc:Choice>
  </mc:AlternateContent>
  <bookViews>
    <workbookView xWindow="-110" yWindow="-110" windowWidth="19420" windowHeight="11500" tabRatio="881" activeTab="2"/>
  </bookViews>
  <sheets>
    <sheet name="00_Catalogos" sheetId="1" r:id="rId4"/>
    <sheet name="01_Oferta" sheetId="2" r:id="rId5"/>
    <sheet name="02_Oferta_x_Programa" sheetId="3" r:id="rId6"/>
    <sheet name="03_Calidad" sheetId="4" r:id="rId7"/>
    <sheet name="04_Costo_del_Sitio" sheetId="5" r:id="rId8"/>
    <sheet name="05_Ponderaciones" sheetId="6" r:id="rId9"/>
    <sheet name="99_Guia_llenado" sheetId="7" r:id="rId10"/>
  </sheets>
  <externalReferences>
    <externalReference r:id="rId12"/>
    <externalReference r:id="rId13"/>
  </externalReferences>
  <definedNames>
    <definedName name="_xlnm._FilterDatabase" localSheetId="0" hidden="1">'00_Catalogos'!$A$1:$B$58</definedName>
    <definedName name="_xlnm._FilterDatabase" localSheetId="1" hidden="1">'01_Oferta'!$A$1:$Z$32</definedName>
    <definedName name="_xlnm._FilterDatabase" localSheetId="2" hidden="1">'02_Oferta_x_Programa'!$A$1:$G$32</definedName>
    <definedName name="_xlnm._FilterDatabase" localSheetId="3" hidden="1">'03_Calidad'!$A$1:$T$33</definedName>
    <definedName name="_xlnm._FilterDatabase" localSheetId="4" hidden="1">'04_Costo_del_Sitio'!$A$1:$K$74</definedName>
    <definedName name="_xlnm._FilterDatabase" localSheetId="5" hidden="1">'05_Ponderaciones'!$A$5:$L$16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Alberto Arango Cardona</author>
  </authors>
  <commentList>
    <comment ref="H1" authorId="0">
      <text>
        <r>
          <rPr>
            <sz val="11"/>
            <color rgb="FF000000"/>
            <rFont val="Calibri"/>
            <family val="2"/>
          </rPr>
          <t>Puede diligenciar aquí (separado por ;) o usar 02_Oferta_x_Programa para normalizar.</t>
        </r>
      </text>
    </comment>
    <comment ref="K1" authorId="0">
      <text>
        <r>
          <rPr>
            <sz val="11"/>
            <color rgb="FF000000"/>
            <rFont val="Calibri"/>
            <family val="2"/>
          </rPr>
          <t>Regla: si Servicios_Hospitalizacion=0 =&gt; Camas=0</t>
        </r>
      </text>
    </comment>
    <comment ref="M1" authorId="0">
      <text>
        <r>
          <rPr>
            <sz val="11"/>
            <color rgb="FF000000"/>
            <rFont val="Calibri"/>
            <family val="2"/>
          </rPr>
          <t>Regla: si Servicios_UCI_UCIN=1 =&gt; Nivel_de_Complejidad=Alta</t>
        </r>
      </text>
    </comment>
    <comment ref="N1" authorId="0">
      <text>
        <r>
          <rPr>
            <sz val="11"/>
            <color rgb="FF000000"/>
            <rFont val="Calibri"/>
            <family val="2"/>
          </rPr>
          <t>Regla: si Servicios_UCI_UCIN=1 =&gt; Nivel_de_Complejidad=Alta</t>
        </r>
      </text>
    </comment>
    <comment ref="U1" authorId="0">
      <text>
        <r>
          <rPr>
            <sz val="11"/>
            <color rgb="FF000000"/>
            <rFont val="Calibri"/>
            <family val="2"/>
          </rPr>
          <t>Regla: si Quirofanos&gt;0 =&gt; Servicios_Quirurgicos=1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Alberto Arango Cardona</author>
  </authors>
  <commentList>
    <comment ref="F1" authorId="0">
      <text>
        <r>
          <rPr>
            <b/>
            <sz val="9"/>
            <color rgb="FF000000"/>
            <rFont val="Tahoma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Sumatoria de los cupos del escenario según el mapa de prácticas de cada programa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Alberto Arango Cardona</author>
  </authors>
  <commentList>
    <comment ref="I1" authorId="0">
      <text>
        <r>
          <rPr>
            <sz val="11"/>
            <color rgb="FF000000"/>
            <rFont val="Calibri"/>
            <family val="2"/>
          </rPr>
          <t>Opciones (separar por ;): Zona de alimentación; Lockers; Área académica; Área de bienestar</t>
        </r>
      </text>
    </comment>
    <comment ref="K1" authorId="0">
      <text>
        <r>
          <rPr>
            <sz val="11"/>
            <color rgb="FF000000"/>
            <rFont val="Calibri"/>
            <family val="2"/>
          </rPr>
          <t>Opciones (separar por ;): Aula; Biblioteca; Sala de simulación; Sala de juntas; Conectividad (wifi estable)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Alberto Arango Cardona</author>
  </authors>
  <commentList>
    <comment ref="B70" authorId="0">
      <text>
        <r>
          <rPr>
            <b/>
            <sz val="9"/>
            <color rgb="FF000000"/>
            <rFont val="Tahoma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Calculado con el 50% de un SMLV por cada mes de rotación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Alberto Arango Cardona</author>
  </authors>
  <commentList>
    <comment ref="B2" authorId="0">
      <text>
        <r>
          <rPr>
            <b/>
            <sz val="9"/>
            <color rgb="FF000000"/>
            <rFont val="Tahoma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El set corresponde a un conjunto de reglas que aplique para un programa determinado. El set001 es de ejemplo, se puede crear setMedicina con las reglas especificas y de interés para medicina o para cualquier programa de interés.
</t>
        </r>
      </text>
    </comment>
    <comment ref="I5" authorId="0">
      <text>
        <r>
          <rPr>
            <sz val="11"/>
            <color rgb="FF000000"/>
            <rFont val="Calibri"/>
            <family val="2"/>
          </rPr>
          <t>Los pesos (Activos) del mismo Set_ID deben sumar 1.00.</t>
        </r>
      </text>
    </comment>
    <comment ref="L5" authorId="0">
      <text>
        <r>
          <rPr>
            <sz val="11"/>
            <color rgb="FF000000"/>
            <rFont val="Calibri"/>
            <family val="2"/>
          </rPr>
          <t>Auto: suma de pesos (I) donde Set_ID coincide y Activo=1.</t>
        </r>
      </text>
    </comment>
  </commentList>
</comments>
</file>

<file path=xl/sharedStrings.xml><?xml version="1.0" encoding="utf-8"?>
<sst xmlns="http://schemas.openxmlformats.org/spreadsheetml/2006/main" count="1031" uniqueCount="188">
  <si>
    <t>Catalogo</t>
  </si>
  <si>
    <t>Valor</t>
  </si>
  <si>
    <t>Naturaleza_Juridica</t>
  </si>
  <si>
    <t>Pública</t>
  </si>
  <si>
    <t>Privada sin ánimo de lucro</t>
  </si>
  <si>
    <t>Privada con ánimo de lucro</t>
  </si>
  <si>
    <t>Mixta</t>
  </si>
  <si>
    <t>Nivel_de_Complejidad</t>
  </si>
  <si>
    <t>Baja</t>
  </si>
  <si>
    <t>Mediana</t>
  </si>
  <si>
    <t>Alta</t>
  </si>
  <si>
    <t>Sí/No</t>
  </si>
  <si>
    <t>Sí</t>
  </si>
  <si>
    <t>No</t>
  </si>
  <si>
    <t>Tipo_Estudiante</t>
  </si>
  <si>
    <t>Pregrado</t>
  </si>
  <si>
    <t>Posgrado</t>
  </si>
  <si>
    <t>Ambos</t>
  </si>
  <si>
    <t>Servicios_(0/1)</t>
  </si>
  <si>
    <t>0</t>
  </si>
  <si>
    <t>1</t>
  </si>
  <si>
    <t>Acceso/Estabilidad (1-5)</t>
  </si>
  <si>
    <t>2</t>
  </si>
  <si>
    <t>3</t>
  </si>
  <si>
    <t>4</t>
  </si>
  <si>
    <t>5</t>
  </si>
  <si>
    <t>Alineacion (1-5)</t>
  </si>
  <si>
    <t>Evaluacion (0-5)</t>
  </si>
  <si>
    <t>Periodicidad_Evaluacion</t>
  </si>
  <si>
    <t>Por rotación</t>
  </si>
  <si>
    <t>Mensual</t>
  </si>
  <si>
    <t>Semestral</t>
  </si>
  <si>
    <t>Anual</t>
  </si>
  <si>
    <t>Tipos_Bienestar_opciones</t>
  </si>
  <si>
    <t>Zona de alimentación</t>
  </si>
  <si>
    <t>Lockers</t>
  </si>
  <si>
    <t>Área académica</t>
  </si>
  <si>
    <t>Área de bienestar</t>
  </si>
  <si>
    <t>Tipos_Academicos_opciones</t>
  </si>
  <si>
    <t>Aula</t>
  </si>
  <si>
    <t>Biblioteca</t>
  </si>
  <si>
    <t>Sala de simulación</t>
  </si>
  <si>
    <t>Sala de juntas</t>
  </si>
  <si>
    <t>Conectividad (wifi estable)</t>
  </si>
  <si>
    <t>Programa_Costo</t>
  </si>
  <si>
    <t>Medicina</t>
  </si>
  <si>
    <t>Enfermería</t>
  </si>
  <si>
    <t>Nutrición</t>
  </si>
  <si>
    <t>Todos</t>
  </si>
  <si>
    <t>Tipo_Estudiante_Costo</t>
  </si>
  <si>
    <t>Tipo_Practica_Costo</t>
  </si>
  <si>
    <t>Rotación pregrado</t>
  </si>
  <si>
    <t>Internado de medicina</t>
  </si>
  <si>
    <t>Residencia o posgrado clínico</t>
  </si>
  <si>
    <t>EPP_Exigidos</t>
  </si>
  <si>
    <t>Sin exigencia</t>
  </si>
  <si>
    <t>Parcial</t>
  </si>
  <si>
    <t>Completo + detalle</t>
  </si>
  <si>
    <t>Cobro_EPP</t>
  </si>
  <si>
    <t>No cobra EPP</t>
  </si>
  <si>
    <t>Cobra EPP a la Universidad</t>
  </si>
  <si>
    <t>ID_Institucion</t>
  </si>
  <si>
    <t>Institucion</t>
  </si>
  <si>
    <t>Es_Hospital_Universitario</t>
  </si>
  <si>
    <t>Escenario_Avalado_Practicas</t>
  </si>
  <si>
    <t>Programas_Aceptados (separar por ;)</t>
  </si>
  <si>
    <t>Servicios_Ambulatorios_PyP (0/1)</t>
  </si>
  <si>
    <t>Servicios_Urgencias (0/1)</t>
  </si>
  <si>
    <t>Servicios_Hospitalizacion (0/1)</t>
  </si>
  <si>
    <t>Servicios_Quirurgicos (0/1)</t>
  </si>
  <si>
    <t>Servicios_Pediatricos (0/1)</t>
  </si>
  <si>
    <t>Servicios_Obstetricia (0/1)</t>
  </si>
  <si>
    <t>Procedimientos_Menores (0/1)</t>
  </si>
  <si>
    <t>Camas</t>
  </si>
  <si>
    <t>Salas_Procedimientos</t>
  </si>
  <si>
    <t>Consultorios</t>
  </si>
  <si>
    <t>Quirofanos</t>
  </si>
  <si>
    <t>Nro_Universidades_Comparten</t>
  </si>
  <si>
    <t>Acceso_Transporte_Publico (1-5)</t>
  </si>
  <si>
    <t>Estabilidad_Financiera (1-5)</t>
  </si>
  <si>
    <t>Observaciones_Oferta</t>
  </si>
  <si>
    <t>Fecha_Corte_Datos (YYYY-MM-DD)</t>
  </si>
  <si>
    <t>Fuente_Verificacion</t>
  </si>
  <si>
    <t>Responsable_Captura</t>
  </si>
  <si>
    <t>Ultima_Actualizacion (YYYY-MM-DD)</t>
  </si>
  <si>
    <t>Programa</t>
  </si>
  <si>
    <t>Tipo_Estudiante (Pregrado/Posgrado)</t>
  </si>
  <si>
    <t>Semestre (AAAA-S)</t>
  </si>
  <si>
    <t>Cupo_Estimado_Semestral</t>
  </si>
  <si>
    <t>Observaciones</t>
  </si>
  <si>
    <t>MisionVisionProposito_AlineacionDocencia (1-5)</t>
  </si>
  <si>
    <t>Admiten_Docentes_Externos (Sí/No)</t>
  </si>
  <si>
    <t>Condiciones_Externos</t>
  </si>
  <si>
    <t>Evalua_Estudiantes_Profesores (0-5)</t>
  </si>
  <si>
    <t>Areas_Bienestar (0/1)</t>
  </si>
  <si>
    <t>Tipos_Bienestar (selección múltiple con ;)</t>
  </si>
  <si>
    <t>Areas_Academicas (0/1)</t>
  </si>
  <si>
    <t>Tipos_Academicos (selección múltiple con ;)</t>
  </si>
  <si>
    <t>Vinculacion_Planta_Enfermeria_%</t>
  </si>
  <si>
    <t>Vinculacion_Planta_Apoyo_%</t>
  </si>
  <si>
    <t>Vinculacion_Planta_Medicos_%</t>
  </si>
  <si>
    <t>Vinculacion_Planta_Especialistas_%</t>
  </si>
  <si>
    <t>Observaciones_Calidad</t>
  </si>
  <si>
    <t>Semestre_Vigencia (AAAA-S)</t>
  </si>
  <si>
    <t>%_Contraprestacion_Matricula (0-100)</t>
  </si>
  <si>
    <t>EPP_Exigidos (Sin exigencia/Parcial/Completo + detalle)</t>
  </si>
  <si>
    <t>Cobro_EPP (No cobra/Cobra a la Universidad)</t>
  </si>
  <si>
    <t>Observaciones_Costo</t>
  </si>
  <si>
    <t>CONTROL DEL SET (para validar que la suma de pesos activos sea 1.00)</t>
  </si>
  <si>
    <t>Set_ID a validar:</t>
  </si>
  <si>
    <t>SET001</t>
  </si>
  <si>
    <t>Objetivo:</t>
  </si>
  <si>
    <t>Suma pesos activos (de ese Set_ID):</t>
  </si>
  <si>
    <t>Estado:</t>
  </si>
  <si>
    <t>Nota: Solo se suman los pesos con Activo=1. La suma debe dar 1.00.</t>
  </si>
  <si>
    <t>Set_ID</t>
  </si>
  <si>
    <t>Nombre_Set</t>
  </si>
  <si>
    <t>Programa (o GLOBAL)</t>
  </si>
  <si>
    <t>Tipo_Estudiante (opcional)</t>
  </si>
  <si>
    <t>Tipo_Practica (opcional)</t>
  </si>
  <si>
    <t>Criterio_Codigo</t>
  </si>
  <si>
    <t>Tipo (Beneficio/Costo)</t>
  </si>
  <si>
    <t>Peso (0-1)</t>
  </si>
  <si>
    <t>Activo (0/1)</t>
  </si>
  <si>
    <t>Notas</t>
  </si>
  <si>
    <t>Suma_Pesos_Activos_del_Set (auto)</t>
  </si>
  <si>
    <t>2026-1</t>
  </si>
  <si>
    <t>Beneficio</t>
  </si>
  <si>
    <t>Costo</t>
  </si>
  <si>
    <t>1) 01_Oferta: 1 fila por escenario/sede y un ID_Institucion único. Usar REPS/listados oficiales como referencia.</t>
  </si>
  <si>
    <t xml:space="preserve">   - Servicios: 0/1. Capacidades: enteros &gt;=0. Acceso/Estabilidad: escala 1-5.</t>
  </si>
  <si>
    <t xml:space="preserve">   - Reglas: Hospitalizacion=0 =&gt; Camas=0; Quirofanos&gt;0 =&gt; Quirurgicos=1; UCI=1 =&gt; Complejidad=Alta.</t>
  </si>
  <si>
    <t>2) 02_Oferta_x_Programa (opcional pero recomendado): 1 fila por (ID_Institucion, Programa, Tipo_Estudiante, Semestre) con cupo estimado.</t>
  </si>
  <si>
    <t>3) 03_Calidad: diligenciar escalas y booleanos. Tipos_Bienestar/Tipos_Academicos: múltiples opciones separadas por ';'.</t>
  </si>
  <si>
    <t>4) 04_Costo_del_Sitio: 1 fila por combinación (ID, Programa_Costo, Tipo_Estudiante_Costo, Tipo_Practica_Costo, Semestre_Vigencia).</t>
  </si>
  <si>
    <t xml:space="preserve">   - Esto permite que la misma IPS cobre distinto a rotación pregrado, internado y posgrado.</t>
  </si>
  <si>
    <t>5) 05_Ponderaciones: definir un Set_ID (por semestre y/o programa). Asignar pesos 0-1; la suma por Set_ID (solo Activo=1) debe ser 1.</t>
  </si>
  <si>
    <t xml:space="preserve">   - En 05_Ponderaciones hay un CONTROL DEL SET (arriba) que calcula la suma y se pone rojo si no es 1.00.</t>
  </si>
  <si>
    <t>Guía rápida de diligenciamiento</t>
  </si>
  <si>
    <t>6) Antes de aprobar un semestre: ejecutar validaciones de consistencia (reglas en comentarios y en el diccionario).</t>
  </si>
  <si>
    <t>HOSPITAL DE SAN JUAN DE DIOS</t>
  </si>
  <si>
    <t>HOSPITAL PABLO TOBON URIBE</t>
  </si>
  <si>
    <t>FUNDACION CLINICA INFANTIL CLUB NOEL</t>
  </si>
  <si>
    <t>CLINICA VERSALLES S.A.</t>
  </si>
  <si>
    <t>FABILU S.A.S</t>
  </si>
  <si>
    <t>CLINICA NUEVA DE CALI SAS</t>
  </si>
  <si>
    <t>FUNDACION EL COTTOLENGO DEL PADRE OCAMPO</t>
  </si>
  <si>
    <t>CHRISTUS SINERGIA CLINICA PALMA REAL S.A.S.</t>
  </si>
  <si>
    <t>CHRISTUS SINERGIA SALUD S.A</t>
  </si>
  <si>
    <t>CLINICA PALMIRA S.A.</t>
  </si>
  <si>
    <t>HOSPITAL DEPARTAMENTAL MARIO CORREA RENGIFO EMPRESA SOCIAL DEL ESTADO</t>
  </si>
  <si>
    <t>CLINICA NUESTRA SEÑORA DE LOS REMEDIOS</t>
  </si>
  <si>
    <t>CLÍNICA IMBANACO S.A.S.</t>
  </si>
  <si>
    <t>FUNDACION HOSPITAL SAN JOSE DE BUGA</t>
  </si>
  <si>
    <t>Fundación Javeriana de Servicios Medico Odontológicos Interuniversitarios Carlos Marquez Villegas-Javesalud</t>
  </si>
  <si>
    <t>RED DE SALUD DEL NORTE EMPRESA SOCIAL DEL ESTADO</t>
  </si>
  <si>
    <t>RED DE SALUD DE LADERA EMPRESA SOCIAL DEL ESTADO</t>
  </si>
  <si>
    <t>RED DE SALUD DEL ORIENTE EMPRESA SOCIAL DEL ESTADO E.S.E</t>
  </si>
  <si>
    <t>RED DE SALUD DEL SURORIENTE ESE - HOSPITAL CARLOS CARMONA M.</t>
  </si>
  <si>
    <t>CAJA DE COMPENSACIÓN FAMILIAR DEL VALLE DEL CAUCA - COMFAMILIAR ANDI</t>
  </si>
  <si>
    <t>COSMITET LTDA ,CORPORACION DE SERVICIOS MEDICOS INTERNACIONALES THEM Y COMPAÑIA LTDA</t>
  </si>
  <si>
    <t>HOSPITAL DEPARTAMENTAL PSIQUIATRICO UNIVERSITARIO DEL VALLE E.S.E</t>
  </si>
  <si>
    <t>Cardioprevent. S.A.S.</t>
  </si>
  <si>
    <t>INSTITUTO NEUROLÓGICO DEL PACIFICO SAS</t>
  </si>
  <si>
    <t>CASA MADRE CANGURO ALFA S.A.</t>
  </si>
  <si>
    <t>CLINICA DE OFTALMOLOGIA DE CALI</t>
  </si>
  <si>
    <t>INSTITUTO PARA NIÑOS CIEGOS Y SORDOS DEL VALLE DEL CAUCA</t>
  </si>
  <si>
    <t>HOSPITAL UNIVERSITARIO SAN IGNACIO</t>
  </si>
  <si>
    <t>E.S.E. HOSPITAL UNIVERSITARIO DEPARTAMENTAL DE NARIÑO</t>
  </si>
  <si>
    <t>HOSPITAL INFANTIL LOS ANGELES</t>
  </si>
  <si>
    <t>Hospital Universitario del Valle "Evaristo Garcia" E.S.E.</t>
  </si>
  <si>
    <t>0500102104</t>
  </si>
  <si>
    <t>Clínica de Occidente</t>
  </si>
  <si>
    <t>7600103066</t>
  </si>
  <si>
    <t>Privada</t>
  </si>
  <si>
    <t>Servicios_UCI (0/1)</t>
  </si>
  <si>
    <t>Servicios_UCIN (0/1)</t>
  </si>
  <si>
    <t>SET-MEDICINA</t>
  </si>
  <si>
    <t>Ponderación Medicina</t>
  </si>
  <si>
    <t>Sin Obstetricia</t>
  </si>
  <si>
    <t>Sin recien nacidos</t>
  </si>
  <si>
    <t>Sin Ginecobstetricia</t>
  </si>
  <si>
    <t>Sin Pediatría ni Ginecobstetricia</t>
  </si>
  <si>
    <t>Solo internos y posgrados</t>
  </si>
  <si>
    <t>Solo servicios ambulatorios y sin obstetricia</t>
  </si>
  <si>
    <t>Solo servicios ambulatorios</t>
  </si>
  <si>
    <t>Solo Adulto y adulto mayor, no ginecobstetricia</t>
  </si>
  <si>
    <t>Limitación de acceso por 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</si>
</sst>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00"/>
    <numFmt numFmtId="165" formatCode="yyyy\-mm\-dd;@"/>
  </numFmts>
  <fonts count="1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9" fontId="0" fillId="0" borderId="0" applyFont="0" applyFill="0" applyBorder="0" applyAlignment="0" applyProtection="0">
      <alignment/>
    </xf>
  </cellStyleXfs>
  <cellXfs count="20">
    <xf numFmtId="0" fontId="0" fillId="0" borderId="0" xfId="0">
      <alignment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>
      <alignment/>
    </xf>
    <xf numFmtId="164" fontId="0" fillId="0" borderId="0" xfId="0" applyNumberFormat="1">
      <alignment/>
    </xf>
    <xf numFmtId="0" fontId="5" fillId="0" borderId="0" xfId="0" applyFont="1">
      <alignment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4" fontId="0" fillId="0" borderId="0" xfId="6" applyFont="1" applyAlignment="1">
      <alignment horizontal="center" vertical="center"/>
    </xf>
    <xf numFmtId="10" fontId="0" fillId="0" borderId="0" xfId="7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>
      <alignment/>
    </xf>
    <xf numFmtId="0" fontId="0" fillId="0" borderId="0" xfId="0">
      <alignment/>
    </xf>
    <xf numFmtId="14" fontId="7" fillId="0" borderId="0" xfId="0" applyNumberFormat="1" applyFont="1" applyAlignment="1">
      <alignment horizontal="center" vertical="center"/>
    </xf>
  </cellXfs>
  <cellStyles count="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Moneda" xfId="6" builtinId="4"/>
    <cellStyle name="Porcentaje" xfId="7" builtinId="5"/>
  </cellStyles>
  <dxfs count="5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u val="none"/>
        <strike val="0"/>
        <sz val="10"/>
        <name val="Arial"/>
        <color rgb="FF9C0006"/>
      </font>
      <fill>
        <patternFill>
          <fgColor indexed="64"/>
          <bgColor rgb="FFFFC7CE"/>
        </patternFill>
      </fill>
    </dxf>
    <dxf>
      <font>
        <b/>
        <i val="0"/>
        <u val="none"/>
        <strike val="0"/>
        <sz val="10"/>
        <name val="Arial"/>
        <color rgb="FF006100"/>
      </font>
      <fill>
        <patternFill>
          <fgColor indexed="64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sharedStrings" Target="sharedStrings.xml" /><Relationship Id="rId4" Type="http://schemas.openxmlformats.org/officeDocument/2006/relationships/worksheet" Target="worksheets/sheet1.xml" /><Relationship Id="rId1" Type="http://schemas.openxmlformats.org/officeDocument/2006/relationships/theme" Target="theme/theme1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14" Type="http://schemas.openxmlformats.org/officeDocument/2006/relationships/calcChain" Target="calcChain.xml" /><Relationship Id="rId6" Type="http://schemas.openxmlformats.org/officeDocument/2006/relationships/worksheet" Target="worksheets/sheet3.xml" /><Relationship Id="rId13" Type="http://schemas.openxmlformats.org/officeDocument/2006/relationships/externalLink" Target="externalLinks/externalLink2.xml" /><Relationship Id="rId2" Type="http://schemas.microsoft.com/office/2017/10/relationships/person" Target="persons/person.xml" /><Relationship Id="rId7" Type="http://schemas.openxmlformats.org/officeDocument/2006/relationships/worksheet" Target="worksheets/sheet4.xml" /><Relationship Id="rId12" Type="http://schemas.openxmlformats.org/officeDocument/2006/relationships/externalLink" Target="externalLinks/externalLink1.xml" /><Relationship Id="rId5" Type="http://schemas.openxmlformats.org/officeDocument/2006/relationships/worksheet" Target="worksheets/sheet2.xml" /><Relationship Id="rId3" Type="http://schemas.openxmlformats.org/officeDocument/2006/relationships/styles" Target="styles.xml" /><Relationship Id="rId10" Type="http://schemas.openxmlformats.org/officeDocument/2006/relationships/worksheet" Target="worksheets/sheet7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Prestadores%20febrero%202026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Servicios%20%20Cali%20febereo%202026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estadores febrero 2026"/>
    </sheetNames>
    <sheetDataSet>
      <sheetData sheetId="0">
        <row r="2">
          <cell r="B2">
            <v>7600116303</v>
          </cell>
          <cell r="C2" t="str">
            <v>FUNDACIÓN CONEXIÓN SALUD MAESVI</v>
          </cell>
          <cell r="E2">
            <v>901645134</v>
          </cell>
          <cell r="F2">
            <v>5</v>
          </cell>
          <cell r="G2" t="str">
            <v>fundacion conexion salud</v>
          </cell>
          <cell r="H2" t="str">
            <v>Privada</v>
          </cell>
        </row>
        <row r="3">
          <cell r="B3">
            <v>7600116089</v>
          </cell>
          <cell r="C3" t="str">
            <v>HEALTH &amp; LIFE IPS SAS</v>
          </cell>
          <cell r="E3">
            <v>900900122</v>
          </cell>
          <cell r="F3">
            <v>7</v>
          </cell>
          <cell r="G3" t="str">
            <v>HEALTH &amp; LIFE IPS SAS SIGLA H&amp;L UCC SAS</v>
          </cell>
          <cell r="H3" t="str">
            <v>Privada</v>
          </cell>
        </row>
        <row r="4">
          <cell r="B4">
            <v>7600106697</v>
          </cell>
          <cell r="C4" t="str">
            <v>+IPSMEDIC S.A.S</v>
          </cell>
          <cell r="E4">
            <v>900168679</v>
          </cell>
          <cell r="F4">
            <v>7</v>
          </cell>
          <cell r="G4" t="str">
            <v>+IPSMEDIC S.A.S</v>
          </cell>
          <cell r="H4" t="str">
            <v>Privada</v>
          </cell>
        </row>
        <row r="5">
          <cell r="B5">
            <v>7600112851</v>
          </cell>
          <cell r="C5" t="str">
            <v>3D RADIOLOGY SAS</v>
          </cell>
          <cell r="E5">
            <v>901448010</v>
          </cell>
          <cell r="F5">
            <v>6</v>
          </cell>
          <cell r="G5" t="str">
            <v>3D RADIOLOGY SAS</v>
          </cell>
          <cell r="H5" t="str">
            <v>Privada</v>
          </cell>
        </row>
        <row r="6">
          <cell r="B6">
            <v>7600102594</v>
          </cell>
          <cell r="C6" t="str">
            <v>A SANCHEZ RADIOLOGOS SAS</v>
          </cell>
          <cell r="E6">
            <v>800008128</v>
          </cell>
          <cell r="F6">
            <v>2</v>
          </cell>
          <cell r="G6" t="str">
            <v>A SANCHEZ RADIOLOGOS SAS</v>
          </cell>
          <cell r="H6" t="str">
            <v>Privada</v>
          </cell>
        </row>
        <row r="7">
          <cell r="B7">
            <v>7600109887</v>
          </cell>
          <cell r="C7" t="str">
            <v>ABC OCUPACIONAL IPS SAS</v>
          </cell>
          <cell r="E7">
            <v>900581682</v>
          </cell>
          <cell r="F7">
            <v>1</v>
          </cell>
          <cell r="G7" t="str">
            <v>ABC OCUPACIONAL IPS SAS</v>
          </cell>
          <cell r="H7" t="str">
            <v>Privada</v>
          </cell>
        </row>
        <row r="8">
          <cell r="B8">
            <v>7600111997</v>
          </cell>
          <cell r="C8" t="str">
            <v>ADRIANA HERRERA RADIOLOGIA ORAL Y MAXILOFACIAL SAS</v>
          </cell>
          <cell r="E8">
            <v>900856019</v>
          </cell>
          <cell r="F8">
            <v>8</v>
          </cell>
          <cell r="G8" t="str">
            <v>Adriana Herrera Radiologia Oral y Maxilofacial SAS</v>
          </cell>
          <cell r="H8" t="str">
            <v>Privada</v>
          </cell>
        </row>
        <row r="9">
          <cell r="B9">
            <v>7600108408</v>
          </cell>
          <cell r="C9" t="str">
            <v>AESTHETIC BODY CENTER S.A.S.</v>
          </cell>
          <cell r="E9">
            <v>900410413</v>
          </cell>
          <cell r="F9">
            <v>2</v>
          </cell>
          <cell r="G9" t="str">
            <v>AESTHETIC BODY CENTER S.A.S.</v>
          </cell>
          <cell r="H9" t="str">
            <v>Privada</v>
          </cell>
        </row>
        <row r="10">
          <cell r="B10">
            <v>7600115758</v>
          </cell>
          <cell r="C10" t="str">
            <v>AIR LIQUIDE COLOMBIA S.A.S</v>
          </cell>
          <cell r="E10">
            <v>900838988</v>
          </cell>
          <cell r="F10">
            <v>3</v>
          </cell>
          <cell r="G10" t="str">
            <v>AIR LIQUIDE COLOMBIA SAS</v>
          </cell>
          <cell r="H10" t="str">
            <v>Privada</v>
          </cell>
        </row>
        <row r="11">
          <cell r="B11">
            <v>7600113086</v>
          </cell>
          <cell r="C11" t="str">
            <v>AL ALBA CLINICA S.A.S</v>
          </cell>
          <cell r="E11">
            <v>901211457</v>
          </cell>
          <cell r="F11">
            <v>6</v>
          </cell>
          <cell r="G11" t="str">
            <v>AL ALBA CLINICA S.A.S</v>
          </cell>
          <cell r="H11" t="str">
            <v>Privada</v>
          </cell>
        </row>
        <row r="12">
          <cell r="B12">
            <v>7600113103</v>
          </cell>
          <cell r="C12" t="str">
            <v>ALCOMAR CARDIOLOGIA S.A.S</v>
          </cell>
          <cell r="E12">
            <v>901395412</v>
          </cell>
          <cell r="F12">
            <v>4</v>
          </cell>
          <cell r="G12" t="str">
            <v>ALCOMAR CARDIOLOGIA S.A.S</v>
          </cell>
          <cell r="H12" t="str">
            <v>Privada</v>
          </cell>
        </row>
        <row r="13">
          <cell r="B13">
            <v>7600109952</v>
          </cell>
          <cell r="C13" t="str">
            <v>Alergologos de Occidente S.A.S.</v>
          </cell>
          <cell r="E13">
            <v>900798538</v>
          </cell>
          <cell r="F13">
            <v>1</v>
          </cell>
          <cell r="G13" t="str">
            <v>Alergologos de Occidente S.A.S.</v>
          </cell>
          <cell r="H13" t="str">
            <v>Privada</v>
          </cell>
        </row>
        <row r="14">
          <cell r="B14">
            <v>7600115696</v>
          </cell>
          <cell r="C14" t="str">
            <v>Alergos SAS</v>
          </cell>
          <cell r="E14">
            <v>901766516</v>
          </cell>
          <cell r="F14">
            <v>4</v>
          </cell>
          <cell r="G14" t="str">
            <v>ALERGO S S.A.S</v>
          </cell>
          <cell r="H14" t="str">
            <v>Privada</v>
          </cell>
        </row>
        <row r="15">
          <cell r="B15">
            <v>7600109707</v>
          </cell>
          <cell r="C15" t="str">
            <v>ALIANZA BARRERA PINZON SAS</v>
          </cell>
          <cell r="E15">
            <v>900761109</v>
          </cell>
          <cell r="F15">
            <v>3</v>
          </cell>
          <cell r="G15" t="str">
            <v>ALIANZA BARRERA PINZON SAS</v>
          </cell>
          <cell r="H15" t="str">
            <v>Privada</v>
          </cell>
        </row>
        <row r="16">
          <cell r="B16">
            <v>7600104909</v>
          </cell>
          <cell r="C16" t="str">
            <v>ALIVIAR SERVICIOS DE SALUD S.A.S</v>
          </cell>
          <cell r="E16">
            <v>805027164</v>
          </cell>
          <cell r="F16">
            <v>7</v>
          </cell>
          <cell r="G16" t="str">
            <v>ALIVIAR SERVICIOS DE SALUD S.A.S</v>
          </cell>
          <cell r="H16" t="str">
            <v>Privada</v>
          </cell>
        </row>
        <row r="17">
          <cell r="B17">
            <v>7600112389</v>
          </cell>
          <cell r="C17" t="str">
            <v>ALLINGROUP NET S.A.S.</v>
          </cell>
          <cell r="E17">
            <v>901263496</v>
          </cell>
          <cell r="F17">
            <v>6</v>
          </cell>
          <cell r="G17" t="str">
            <v>ALLINGROUP NET S.A.S.</v>
          </cell>
          <cell r="H17" t="str">
            <v>Privada</v>
          </cell>
        </row>
        <row r="18">
          <cell r="B18">
            <v>7600115710</v>
          </cell>
          <cell r="C18" t="str">
            <v>ALTRADX S.A.S</v>
          </cell>
          <cell r="E18">
            <v>901554964</v>
          </cell>
          <cell r="F18">
            <v>0</v>
          </cell>
          <cell r="G18" t="str">
            <v>ALTRADX S.A.S</v>
          </cell>
          <cell r="H18" t="str">
            <v>Privada</v>
          </cell>
        </row>
        <row r="19">
          <cell r="B19">
            <v>7600108257</v>
          </cell>
          <cell r="C19" t="str">
            <v>AMADEUSCAN SOCIEDAD POR ACCIONES SIMPLIFICADA S.A.S</v>
          </cell>
          <cell r="E19">
            <v>900367454</v>
          </cell>
          <cell r="F19">
            <v>0</v>
          </cell>
          <cell r="G19" t="str">
            <v>AMADEUSCAN SOCIEDAD POR ACCIONES SIMPLIFICADA S.A.S</v>
          </cell>
          <cell r="H19" t="str">
            <v>Privada</v>
          </cell>
        </row>
        <row r="20">
          <cell r="B20">
            <v>7600112169</v>
          </cell>
          <cell r="C20" t="str">
            <v>AMDE CALI</v>
          </cell>
          <cell r="E20">
            <v>900532663</v>
          </cell>
          <cell r="F20">
            <v>0</v>
          </cell>
          <cell r="G20" t="str">
            <v>AYUDA MEDICA DOMICILIARIA Y EMPRESARIAL SOLUCIONES EN SALUD OCUPACIONAL S A S</v>
          </cell>
          <cell r="H20" t="str">
            <v>Privada</v>
          </cell>
        </row>
        <row r="21">
          <cell r="B21">
            <v>7600103756</v>
          </cell>
          <cell r="C21" t="str">
            <v>AMIGOS DE LA SALUD, AMISALUD SAS</v>
          </cell>
          <cell r="E21">
            <v>805016006</v>
          </cell>
          <cell r="F21">
            <v>4</v>
          </cell>
          <cell r="G21" t="str">
            <v>AMIGOS DE LA SALUD, AMISALUD SAS</v>
          </cell>
          <cell r="H21" t="str">
            <v>Privada</v>
          </cell>
        </row>
        <row r="22">
          <cell r="B22">
            <v>7600116212</v>
          </cell>
          <cell r="C22" t="str">
            <v>ANDRES LOPEZ ODONTOLOGIA INTEGRAL S.A.S.</v>
          </cell>
          <cell r="E22">
            <v>901152777</v>
          </cell>
          <cell r="F22">
            <v>4</v>
          </cell>
          <cell r="G22" t="str">
            <v>ANDRES LOPEZ ODONTOLOGIA INTEGRAL S.A.S</v>
          </cell>
          <cell r="H22" t="str">
            <v>Privada</v>
          </cell>
        </row>
        <row r="23">
          <cell r="B23">
            <v>7600104946</v>
          </cell>
          <cell r="C23" t="str">
            <v>ANESTESIOLOGOS S.A.</v>
          </cell>
          <cell r="E23">
            <v>805000472</v>
          </cell>
          <cell r="F23">
            <v>3</v>
          </cell>
          <cell r="G23" t="str">
            <v>ANESTESIOLOGOS S.A.</v>
          </cell>
          <cell r="H23" t="str">
            <v>Privada</v>
          </cell>
        </row>
        <row r="24">
          <cell r="B24">
            <v>7600112295</v>
          </cell>
          <cell r="C24" t="str">
            <v>ANGELES SPORT GYM S.A.S</v>
          </cell>
          <cell r="E24">
            <v>901259373</v>
          </cell>
          <cell r="F24">
            <v>3</v>
          </cell>
          <cell r="G24" t="str">
            <v>AS GYM ANGELES SPORT GYM</v>
          </cell>
          <cell r="H24" t="str">
            <v>Privada</v>
          </cell>
        </row>
        <row r="25">
          <cell r="B25">
            <v>7600100866</v>
          </cell>
          <cell r="C25" t="str">
            <v>ANGIOGRAFIA DE OCCIDENTE S.A.</v>
          </cell>
          <cell r="E25">
            <v>800197601</v>
          </cell>
          <cell r="F25">
            <v>4</v>
          </cell>
          <cell r="G25" t="str">
            <v>ANGIOGRAFIA DE OCCIDENTE S.A.</v>
          </cell>
          <cell r="H25" t="str">
            <v>Privada</v>
          </cell>
        </row>
        <row r="26">
          <cell r="B26">
            <v>7600113236</v>
          </cell>
          <cell r="C26" t="str">
            <v>APREHSI GROUP S.A.S</v>
          </cell>
          <cell r="E26">
            <v>900033859</v>
          </cell>
          <cell r="F26">
            <v>6</v>
          </cell>
          <cell r="G26" t="str">
            <v>APREHSI GROUP S.A.S</v>
          </cell>
          <cell r="H26" t="str">
            <v>Privada</v>
          </cell>
        </row>
        <row r="27">
          <cell r="B27">
            <v>7600112282</v>
          </cell>
          <cell r="C27" t="str">
            <v>AR HEALTH S.A.S.</v>
          </cell>
          <cell r="E27">
            <v>901110290</v>
          </cell>
          <cell r="F27">
            <v>1</v>
          </cell>
          <cell r="G27" t="str">
            <v>AR HEALTH SAS</v>
          </cell>
          <cell r="H27" t="str">
            <v>Privada</v>
          </cell>
        </row>
        <row r="28">
          <cell r="B28">
            <v>7600103058</v>
          </cell>
          <cell r="C28" t="str">
            <v>ARANA ODONTOLOGIA S.A.S</v>
          </cell>
          <cell r="E28">
            <v>800093418</v>
          </cell>
          <cell r="F28">
            <v>5</v>
          </cell>
          <cell r="G28" t="str">
            <v>ARANA ODONTOLOGIA S.A.S</v>
          </cell>
          <cell r="H28" t="str">
            <v>Privada</v>
          </cell>
        </row>
        <row r="29">
          <cell r="B29">
            <v>7600115458</v>
          </cell>
          <cell r="C29" t="str">
            <v>ARTEK CALI S.A.S</v>
          </cell>
          <cell r="E29">
            <v>901362673</v>
          </cell>
          <cell r="F29">
            <v>8</v>
          </cell>
          <cell r="G29" t="str">
            <v>ARTEK CALI S.A.S</v>
          </cell>
          <cell r="H29" t="str">
            <v>Privada</v>
          </cell>
        </row>
        <row r="30">
          <cell r="B30">
            <v>7600108374</v>
          </cell>
          <cell r="C30" t="str">
            <v>ARTMEDICA S.A.S</v>
          </cell>
          <cell r="E30">
            <v>900298928</v>
          </cell>
          <cell r="F30">
            <v>3</v>
          </cell>
          <cell r="G30" t="str">
            <v>ARTMEDICA S.A.S</v>
          </cell>
          <cell r="H30" t="str">
            <v>Privada</v>
          </cell>
        </row>
        <row r="31">
          <cell r="B31">
            <v>7600111678</v>
          </cell>
          <cell r="C31" t="str">
            <v>ASESORIAS EMPRESARIALES Y SERVICIOS EN LA SALUD HUMANA SAS</v>
          </cell>
          <cell r="E31">
            <v>900444468</v>
          </cell>
          <cell r="F31">
            <v>3</v>
          </cell>
          <cell r="G31" t="str">
            <v>ASESORIAS EMPRESARIALES Y SERVICIOS EN SALUD HUMANA SAS</v>
          </cell>
          <cell r="H31" t="str">
            <v>Privada</v>
          </cell>
        </row>
        <row r="32">
          <cell r="B32">
            <v>7600108949</v>
          </cell>
          <cell r="C32" t="str">
            <v>ASISFARMA S.A.S</v>
          </cell>
          <cell r="E32">
            <v>900149596</v>
          </cell>
          <cell r="F32">
            <v>3</v>
          </cell>
          <cell r="G32" t="str">
            <v>ASISFARMA S.A.S</v>
          </cell>
          <cell r="H32" t="str">
            <v>Privada</v>
          </cell>
        </row>
        <row r="33">
          <cell r="B33">
            <v>7600106268</v>
          </cell>
          <cell r="C33" t="str">
            <v>ASOCIACION DE DISCAPACITADOS DEL VALLE Asodisvalle</v>
          </cell>
          <cell r="E33">
            <v>805019832</v>
          </cell>
          <cell r="F33">
            <v>5</v>
          </cell>
          <cell r="G33" t="str">
            <v>ASOCIACION DE DISCAPACITADOS DEL VALLE - ASODISVALLE</v>
          </cell>
          <cell r="H33" t="str">
            <v>Privada</v>
          </cell>
        </row>
        <row r="34">
          <cell r="B34">
            <v>7600105684</v>
          </cell>
          <cell r="C34" t="str">
            <v>ASOCIACIÓN DE PERSONAS CON AUTISMO-APA</v>
          </cell>
          <cell r="E34">
            <v>800205977</v>
          </cell>
          <cell r="F34">
            <v>3</v>
          </cell>
          <cell r="G34" t="str">
            <v>ASOCIACIÓN DE PERSONAS CON AUTISMO-APA</v>
          </cell>
          <cell r="H34" t="str">
            <v>Privada</v>
          </cell>
        </row>
        <row r="35">
          <cell r="B35">
            <v>7600102038</v>
          </cell>
          <cell r="C35" t="str">
            <v>ASOCIACION PARA LA SALUD MANTAL INFANTIL Y DEL ADOLESCENTE SIMA</v>
          </cell>
          <cell r="E35">
            <v>800106362</v>
          </cell>
          <cell r="F35">
            <v>1</v>
          </cell>
          <cell r="G35" t="str">
            <v>ASOCIACION PARA LA SALUD MANTAL INFANTIL Y DEL ADOLESCENTE SIMA</v>
          </cell>
          <cell r="H35" t="str">
            <v>Privada</v>
          </cell>
        </row>
        <row r="36">
          <cell r="B36">
            <v>7600104014</v>
          </cell>
          <cell r="C36" t="str">
            <v>ASOCIACIÓN PROFAMILIA</v>
          </cell>
          <cell r="E36">
            <v>860013779</v>
          </cell>
          <cell r="F36">
            <v>5</v>
          </cell>
          <cell r="G36" t="str">
            <v>ASOCIACIÓN PROFAMILIA</v>
          </cell>
          <cell r="H36" t="str">
            <v>Privada</v>
          </cell>
        </row>
        <row r="37">
          <cell r="B37">
            <v>7600111400</v>
          </cell>
          <cell r="C37" t="str">
            <v>ATENCION EN SALUD INTEGRAL Y SEGURIDAD EN EL TRABAJO SAS - ASIS-T COLOMBIA</v>
          </cell>
          <cell r="E37">
            <v>901020986</v>
          </cell>
          <cell r="F37">
            <v>0</v>
          </cell>
          <cell r="G37" t="str">
            <v>ATENCION EN SALUD INTEGRAL Y SEGURIDAD EN EL TRABAJO SAS</v>
          </cell>
          <cell r="H37" t="str">
            <v>Privada</v>
          </cell>
        </row>
        <row r="38">
          <cell r="B38">
            <v>7600112721</v>
          </cell>
          <cell r="C38" t="str">
            <v>ATENCÍON FIDEM S.A.S.</v>
          </cell>
          <cell r="E38">
            <v>901438917</v>
          </cell>
          <cell r="F38">
            <v>8</v>
          </cell>
          <cell r="G38" t="str">
            <v>ATENCÍON FIDEM S.A.S.</v>
          </cell>
          <cell r="H38" t="str">
            <v>Privada</v>
          </cell>
        </row>
        <row r="39">
          <cell r="B39">
            <v>7600115219</v>
          </cell>
          <cell r="C39" t="str">
            <v>AUDIFONOS S.A.S</v>
          </cell>
          <cell r="E39">
            <v>900795705</v>
          </cell>
          <cell r="F39">
            <v>1</v>
          </cell>
          <cell r="G39" t="str">
            <v>AUDIFONOS S.A.S</v>
          </cell>
          <cell r="H39" t="str">
            <v>Privada</v>
          </cell>
        </row>
        <row r="40">
          <cell r="B40">
            <v>7600107371</v>
          </cell>
          <cell r="C40" t="str">
            <v>AUDIOCOM SAS.</v>
          </cell>
          <cell r="E40">
            <v>814003448</v>
          </cell>
          <cell r="F40">
            <v>2</v>
          </cell>
          <cell r="G40" t="str">
            <v>AUDIOCOM IPS</v>
          </cell>
          <cell r="H40" t="str">
            <v>Privada</v>
          </cell>
        </row>
        <row r="41">
          <cell r="B41">
            <v>7600116290</v>
          </cell>
          <cell r="C41" t="str">
            <v>AURAL COLOMBIA SAS</v>
          </cell>
          <cell r="E41">
            <v>901271670</v>
          </cell>
          <cell r="F41">
            <v>5</v>
          </cell>
          <cell r="G41" t="str">
            <v>AURAL COLOMBIA SAS</v>
          </cell>
          <cell r="H41" t="str">
            <v>Privada</v>
          </cell>
        </row>
        <row r="42">
          <cell r="B42">
            <v>7600116158</v>
          </cell>
          <cell r="C42" t="str">
            <v>AVANZA SALUD SOCIEDAD POR ACCIONES SIMPLIFICADA</v>
          </cell>
          <cell r="E42">
            <v>900501215</v>
          </cell>
          <cell r="F42">
            <v>1</v>
          </cell>
          <cell r="G42" t="str">
            <v>avanza salud S.A.S</v>
          </cell>
          <cell r="H42" t="str">
            <v>Privada</v>
          </cell>
        </row>
        <row r="43">
          <cell r="B43">
            <v>7600100039</v>
          </cell>
          <cell r="C43" t="str">
            <v>AYUDAS DIAGNOSTICAS SURA S.A.S</v>
          </cell>
          <cell r="E43">
            <v>800225057</v>
          </cell>
          <cell r="F43">
            <v>8</v>
          </cell>
          <cell r="G43" t="str">
            <v>AYUDAS DIAGNOSTICAS SURA S.A.S</v>
          </cell>
          <cell r="H43" t="str">
            <v>Privada</v>
          </cell>
        </row>
        <row r="44">
          <cell r="B44">
            <v>7600115660</v>
          </cell>
          <cell r="C44" t="str">
            <v>BCI COMPANY S.A.S</v>
          </cell>
          <cell r="E44">
            <v>901711521</v>
          </cell>
          <cell r="F44">
            <v>5</v>
          </cell>
          <cell r="G44" t="str">
            <v>BCI COMPANY S.A.S</v>
          </cell>
          <cell r="H44" t="str">
            <v>Privada</v>
          </cell>
        </row>
        <row r="45">
          <cell r="B45">
            <v>7600108197</v>
          </cell>
          <cell r="C45" t="str">
            <v>BIENESTAR INTEGRAL EN CASA S.A.S</v>
          </cell>
          <cell r="E45">
            <v>900422153</v>
          </cell>
          <cell r="F45">
            <v>4</v>
          </cell>
          <cell r="G45" t="str">
            <v>BIENESTAR INTEGRAL EN CASA S.A.S</v>
          </cell>
          <cell r="H45" t="str">
            <v>Privada</v>
          </cell>
        </row>
        <row r="46">
          <cell r="B46">
            <v>7600108810</v>
          </cell>
          <cell r="C46" t="str">
            <v>BIO DENTAL GROUP SAS</v>
          </cell>
          <cell r="E46">
            <v>900548320</v>
          </cell>
          <cell r="F46">
            <v>1</v>
          </cell>
          <cell r="G46" t="str">
            <v>BIO DENTAL GROUP SAS</v>
          </cell>
          <cell r="H46" t="str">
            <v>Privada</v>
          </cell>
        </row>
        <row r="47">
          <cell r="B47">
            <v>7600111703</v>
          </cell>
          <cell r="C47" t="str">
            <v>BIO PREVENAR S.A.S</v>
          </cell>
          <cell r="E47">
            <v>901173332</v>
          </cell>
          <cell r="F47">
            <v>0</v>
          </cell>
          <cell r="G47" t="str">
            <v>BIO PREVENAR S.A.S</v>
          </cell>
          <cell r="H47" t="str">
            <v>Privada</v>
          </cell>
        </row>
        <row r="48">
          <cell r="B48">
            <v>7600113056</v>
          </cell>
          <cell r="C48" t="str">
            <v>Biotecnologia y Genetica S.A.S</v>
          </cell>
          <cell r="E48">
            <v>900141569</v>
          </cell>
          <cell r="F48">
            <v>8</v>
          </cell>
          <cell r="G48" t="str">
            <v>BIOTECNOLOGIA Y GENETICA S.A.S BIOTECGEN S.A.S</v>
          </cell>
          <cell r="H48" t="str">
            <v>Privada</v>
          </cell>
        </row>
        <row r="49">
          <cell r="B49">
            <v>7600108788</v>
          </cell>
          <cell r="C49" t="str">
            <v>BOSTON MEDICAL CARE SAS IPS</v>
          </cell>
          <cell r="E49">
            <v>900301238</v>
          </cell>
          <cell r="F49">
            <v>2</v>
          </cell>
          <cell r="G49" t="str">
            <v>Boston Medical Care IPS SAS</v>
          </cell>
          <cell r="H49" t="str">
            <v>Privada</v>
          </cell>
        </row>
        <row r="50">
          <cell r="B50">
            <v>7600108387</v>
          </cell>
          <cell r="C50" t="str">
            <v>BOSTON MEDICAL GROUP DE COLOMBIA SAS</v>
          </cell>
          <cell r="E50">
            <v>900291373</v>
          </cell>
          <cell r="F50">
            <v>4</v>
          </cell>
          <cell r="G50" t="str">
            <v>BOSTON MEDICAL GROUP DE COLOMBIA SAS</v>
          </cell>
          <cell r="H50" t="str">
            <v>Privada</v>
          </cell>
        </row>
        <row r="51">
          <cell r="B51">
            <v>7600102484</v>
          </cell>
          <cell r="C51" t="str">
            <v>BRACKET`S ODONTOLOGIA INTEGRAL</v>
          </cell>
          <cell r="E51">
            <v>805012835</v>
          </cell>
          <cell r="F51">
            <v>5</v>
          </cell>
          <cell r="G51" t="str">
            <v>BRACKET`S ODONTOLOGIA INTEGRAL</v>
          </cell>
          <cell r="H51" t="str">
            <v>Privada</v>
          </cell>
        </row>
        <row r="52">
          <cell r="B52">
            <v>7600115439</v>
          </cell>
          <cell r="C52" t="str">
            <v>BRIGHTER SMILES S.A.S.</v>
          </cell>
          <cell r="E52">
            <v>901647321</v>
          </cell>
          <cell r="F52">
            <v>5</v>
          </cell>
          <cell r="G52" t="str">
            <v>BRIGHTER SMILES S.A.S.</v>
          </cell>
          <cell r="H52" t="str">
            <v>Privada</v>
          </cell>
        </row>
        <row r="53">
          <cell r="B53">
            <v>7600115316</v>
          </cell>
          <cell r="C53" t="str">
            <v>C&amp;T Cuidado Integral SAS</v>
          </cell>
          <cell r="E53">
            <v>901458777</v>
          </cell>
          <cell r="F53">
            <v>9</v>
          </cell>
          <cell r="G53" t="str">
            <v>C&amp;T CUIDADO INTEGRAL SAS</v>
          </cell>
          <cell r="H53" t="str">
            <v>Privada</v>
          </cell>
        </row>
        <row r="54">
          <cell r="B54">
            <v>7600115216</v>
          </cell>
          <cell r="C54" t="str">
            <v>CADENA SALUD S.A.S.</v>
          </cell>
          <cell r="E54">
            <v>900804457</v>
          </cell>
          <cell r="F54">
            <v>8</v>
          </cell>
          <cell r="G54" t="str">
            <v>CADENA SALUD S.A.S.</v>
          </cell>
          <cell r="H54" t="str">
            <v>Privada</v>
          </cell>
        </row>
        <row r="55">
          <cell r="B55">
            <v>7600112202</v>
          </cell>
          <cell r="C55" t="str">
            <v>CAJA COLOMBIANA DE SUBSIDIO FAMILIAR COLSUBSIDIO</v>
          </cell>
          <cell r="E55">
            <v>860007336</v>
          </cell>
          <cell r="F55">
            <v>1</v>
          </cell>
          <cell r="G55" t="str">
            <v>CAJA COLOMBIANA DE SUBSIDIO FAMILIAR COLSUBSIDIO</v>
          </cell>
          <cell r="H55" t="str">
            <v>Privada</v>
          </cell>
        </row>
        <row r="56">
          <cell r="B56">
            <v>7600100037</v>
          </cell>
          <cell r="C56" t="str">
            <v>CAJA DE COMPENSACIÓN FAMILIAR DEL VALLE DEL CAUCA - COMFAMILIAR ANDI</v>
          </cell>
          <cell r="E56">
            <v>890303208</v>
          </cell>
          <cell r="F56">
            <v>5</v>
          </cell>
          <cell r="G56" t="str">
            <v>CAJA DE COMPENSACIÓN FAMILIAR DEL VALLE DEL CAUCA - COMFAMILIAR ANDI</v>
          </cell>
          <cell r="H56" t="str">
            <v>Privada</v>
          </cell>
        </row>
        <row r="57">
          <cell r="B57">
            <v>7600113099</v>
          </cell>
          <cell r="C57" t="str">
            <v>CARDIODEC CARDIODIAGNÓSTICO EN CASA S.A.S.</v>
          </cell>
          <cell r="E57">
            <v>901553403</v>
          </cell>
          <cell r="F57">
            <v>6</v>
          </cell>
          <cell r="G57" t="str">
            <v>CARDIODEC CARDIODIAGNOSTICO EN CASA S.A.S</v>
          </cell>
          <cell r="H57" t="str">
            <v>Privada</v>
          </cell>
        </row>
        <row r="58">
          <cell r="B58">
            <v>7600109597</v>
          </cell>
          <cell r="C58" t="str">
            <v>Cardioprevent. S.A.S.</v>
          </cell>
          <cell r="E58">
            <v>900632859</v>
          </cell>
          <cell r="F58">
            <v>6</v>
          </cell>
          <cell r="G58" t="str">
            <v>Cardioprevent. S.A.S.</v>
          </cell>
          <cell r="H58" t="str">
            <v>Privada</v>
          </cell>
        </row>
        <row r="59">
          <cell r="B59">
            <v>7600112694</v>
          </cell>
          <cell r="C59" t="str">
            <v>CARLOS ALBERTO BUENO LEMOS/ODONTOLABX SAS</v>
          </cell>
          <cell r="E59">
            <v>901355357</v>
          </cell>
          <cell r="F59">
            <v>6</v>
          </cell>
          <cell r="G59" t="str">
            <v>CARLOS ALBERTO BUENO LEMOS/ODONTOLABX SAS</v>
          </cell>
          <cell r="H59" t="str">
            <v>Privada</v>
          </cell>
        </row>
        <row r="60">
          <cell r="B60">
            <v>7600100803</v>
          </cell>
          <cell r="C60" t="str">
            <v>CASA MADRE CANGURO ALFA S.A.</v>
          </cell>
          <cell r="E60">
            <v>805025186</v>
          </cell>
          <cell r="F60">
            <v>1</v>
          </cell>
          <cell r="G60" t="str">
            <v>CASA MADRE CANGURO ALFA S.A.</v>
          </cell>
          <cell r="H60" t="str">
            <v>Privada</v>
          </cell>
        </row>
        <row r="61">
          <cell r="B61">
            <v>7600107501</v>
          </cell>
          <cell r="C61" t="str">
            <v>CEDIMA S.A.S</v>
          </cell>
          <cell r="E61">
            <v>900295071</v>
          </cell>
          <cell r="F61">
            <v>3</v>
          </cell>
          <cell r="G61" t="str">
            <v>CEDIMA S.A.S</v>
          </cell>
          <cell r="H61" t="str">
            <v>Privada</v>
          </cell>
        </row>
        <row r="62">
          <cell r="B62">
            <v>7600100014</v>
          </cell>
          <cell r="C62" t="str">
            <v>CENFIS S.A.S.</v>
          </cell>
          <cell r="E62">
            <v>800104272</v>
          </cell>
          <cell r="F62">
            <v>6</v>
          </cell>
          <cell r="G62" t="str">
            <v>CENFIS S.A.S.</v>
          </cell>
          <cell r="H62" t="str">
            <v>Privada</v>
          </cell>
        </row>
        <row r="63">
          <cell r="B63">
            <v>7600107801</v>
          </cell>
          <cell r="C63" t="str">
            <v>CENTRO CUBANO DE RESTAURACION FISICA NEUROLOGICA S.A.S.</v>
          </cell>
          <cell r="E63">
            <v>900181082</v>
          </cell>
          <cell r="F63">
            <v>4</v>
          </cell>
          <cell r="G63" t="str">
            <v>CENTRO CUBANO DE RESTAURACION FISICA NEUROLOGICA S.A.S.</v>
          </cell>
          <cell r="H63" t="str">
            <v>Privada</v>
          </cell>
        </row>
        <row r="64">
          <cell r="B64">
            <v>7600116140</v>
          </cell>
          <cell r="C64" t="str">
            <v>CENTRO DE ATENCION NEUROLOGICA INTEGRAL S.A.S.</v>
          </cell>
          <cell r="E64">
            <v>900440493</v>
          </cell>
          <cell r="F64">
            <v>1</v>
          </cell>
          <cell r="G64" t="str">
            <v>CENTRO DE ATENCION NEUROLOGICA INTEGRAL S.A.S</v>
          </cell>
          <cell r="H64" t="str">
            <v>Privada</v>
          </cell>
        </row>
        <row r="65">
          <cell r="B65">
            <v>7600102630</v>
          </cell>
          <cell r="C65" t="str">
            <v>CENTRO DE BIOMEDICINA REPRODUCTIVA DEL VALLE S.A.</v>
          </cell>
          <cell r="E65">
            <v>805000589</v>
          </cell>
          <cell r="F65">
            <v>6</v>
          </cell>
          <cell r="G65" t="str">
            <v>CENTRO DE BIOMEDICINA REPRODUCTIVA DEL VALLE S.A.</v>
          </cell>
          <cell r="H65" t="str">
            <v>Privada</v>
          </cell>
        </row>
        <row r="66">
          <cell r="B66">
            <v>7600109394</v>
          </cell>
          <cell r="C66" t="str">
            <v>CENTRO DE DIAGNOSTICO Y TRATAMIENTO CENDIATRA SOCIEDAD POR ACCIONES SIMPLIFICADAS CENDIATRA SAS</v>
          </cell>
          <cell r="E66">
            <v>800180176</v>
          </cell>
          <cell r="F66">
            <v>0</v>
          </cell>
          <cell r="G66" t="str">
            <v>CENTRO DE DIAGNOSTICO Y TRATAMIENTO CENDIATRA SOCIEDAD POR ACCIONES SIMPLIFICADAS CENDIATRA SAS</v>
          </cell>
          <cell r="H66" t="str">
            <v>Privada</v>
          </cell>
        </row>
        <row r="67">
          <cell r="B67">
            <v>7600108074</v>
          </cell>
          <cell r="C67" t="str">
            <v>CENTRO DE ENDOSCOPIA DEL VALLE SAS</v>
          </cell>
          <cell r="E67">
            <v>900380599</v>
          </cell>
          <cell r="F67">
            <v>3</v>
          </cell>
          <cell r="G67" t="str">
            <v>CENTRO DE ENDOSCOPIA DEL VALLE SAS</v>
          </cell>
          <cell r="H67" t="str">
            <v>Privada</v>
          </cell>
        </row>
        <row r="68">
          <cell r="B68">
            <v>7600105404</v>
          </cell>
          <cell r="C68" t="str">
            <v>CENTRO DE ESPECIALISTAS DIAGNOSTICO TRATAMIENTOS CEDIT SAS</v>
          </cell>
          <cell r="E68">
            <v>830114846</v>
          </cell>
          <cell r="F68">
            <v>5</v>
          </cell>
          <cell r="G68" t="str">
            <v>CENTRO DE ESPECIALISTAS DIAGNOSTICO TRATAMIENTOS CEDIT SAS</v>
          </cell>
          <cell r="H68" t="str">
            <v>Privada</v>
          </cell>
        </row>
        <row r="69">
          <cell r="B69">
            <v>7600112458</v>
          </cell>
          <cell r="C69" t="str">
            <v>CENTRO DE ESTUDIOS DE REUMATOLOGÍA Y DERMATOLOGÍA S.A.S.</v>
          </cell>
          <cell r="E69">
            <v>901265219</v>
          </cell>
          <cell r="F69">
            <v>1</v>
          </cell>
          <cell r="G69" t="str">
            <v>CENTRO DE ESTUDIOS DE REUMATOLOGÍA Y DERMATOLOGÍA S.A.S.</v>
          </cell>
          <cell r="H69" t="str">
            <v>Privada</v>
          </cell>
        </row>
        <row r="70">
          <cell r="B70">
            <v>7600109025</v>
          </cell>
          <cell r="C70" t="str">
            <v>CENTRO DE ESTUDIOS EN INFECTOLOGIA PEDIATRICA S.A.S.</v>
          </cell>
          <cell r="E70">
            <v>900578543</v>
          </cell>
          <cell r="F70">
            <v>3</v>
          </cell>
          <cell r="G70" t="str">
            <v>CENTRO DE ESTUDIOS EN INFECTOLOGIA PEDIATRICA S.A.S.</v>
          </cell>
          <cell r="H70" t="str">
            <v>Privada</v>
          </cell>
        </row>
        <row r="71">
          <cell r="B71">
            <v>7600115926</v>
          </cell>
          <cell r="C71" t="str">
            <v>CENTRO DE EXPERIENCIA COCHLEAR - CALI</v>
          </cell>
          <cell r="E71">
            <v>901220332</v>
          </cell>
          <cell r="F71">
            <v>2</v>
          </cell>
          <cell r="G71" t="str">
            <v>Cochlear Colombia SAS</v>
          </cell>
          <cell r="H71" t="str">
            <v>Privada</v>
          </cell>
        </row>
        <row r="72">
          <cell r="B72">
            <v>7600115495</v>
          </cell>
          <cell r="C72" t="str">
            <v>CENTRO DE IMAGENES DIAGNOSTICAS S.A.S</v>
          </cell>
          <cell r="E72">
            <v>805002117</v>
          </cell>
          <cell r="F72">
            <v>2</v>
          </cell>
          <cell r="G72" t="str">
            <v>CENTRO DE IMAGENES DIAGNOSTICAS SAS</v>
          </cell>
          <cell r="H72" t="str">
            <v>Privada</v>
          </cell>
        </row>
        <row r="73">
          <cell r="B73">
            <v>7600108208</v>
          </cell>
          <cell r="C73" t="str">
            <v>CENTRO DE IMPLANTES DENTALES - CID S.A.S</v>
          </cell>
          <cell r="E73">
            <v>900428789</v>
          </cell>
          <cell r="F73">
            <v>5</v>
          </cell>
          <cell r="G73" t="str">
            <v>CENTRO DE IMPLANTES DENTALES - CID S.A.S</v>
          </cell>
          <cell r="H73" t="str">
            <v>Privada</v>
          </cell>
        </row>
        <row r="74">
          <cell r="B74">
            <v>7600107962</v>
          </cell>
          <cell r="C74" t="str">
            <v>Centro de Investigaciones Clinicas S.A.S.</v>
          </cell>
          <cell r="E74">
            <v>900365217</v>
          </cell>
          <cell r="F74">
            <v>2</v>
          </cell>
          <cell r="G74" t="str">
            <v>Centro de Investigaciones Clinicas S.A.S.</v>
          </cell>
          <cell r="H74" t="str">
            <v>Privada</v>
          </cell>
        </row>
        <row r="75">
          <cell r="B75">
            <v>7600115419</v>
          </cell>
          <cell r="C75" t="str">
            <v>CENTRO DE MEDICINA ANCESTRAL ORÍGENES S.A.S</v>
          </cell>
          <cell r="E75">
            <v>901172983</v>
          </cell>
          <cell r="F75">
            <v>0</v>
          </cell>
          <cell r="G75" t="str">
            <v>CENTRO DE MEDICINA ANCESTRAL ORÍGENES S.A.S</v>
          </cell>
          <cell r="H75" t="str">
            <v>Privada</v>
          </cell>
        </row>
        <row r="76">
          <cell r="B76">
            <v>7600104827</v>
          </cell>
          <cell r="C76" t="str">
            <v>CENTRO DE MEDICINA FISICA Y REHABILITACION RECUPERAR</v>
          </cell>
          <cell r="E76">
            <v>805026771</v>
          </cell>
          <cell r="F76">
            <v>3</v>
          </cell>
          <cell r="G76" t="str">
            <v>RECUPERAR SA IPS</v>
          </cell>
          <cell r="H76" t="str">
            <v>Privada</v>
          </cell>
        </row>
        <row r="77">
          <cell r="B77">
            <v>7600111654</v>
          </cell>
          <cell r="C77" t="str">
            <v>Centro de Neuroestimulación Conductual Integrarte SAS</v>
          </cell>
          <cell r="E77">
            <v>901160443</v>
          </cell>
          <cell r="F77">
            <v>3</v>
          </cell>
          <cell r="G77" t="str">
            <v>Centro de Neuroestimulación Conductual Integrarte SAS</v>
          </cell>
          <cell r="H77" t="str">
            <v>Privada</v>
          </cell>
        </row>
        <row r="78">
          <cell r="B78">
            <v>7600107675</v>
          </cell>
          <cell r="C78" t="str">
            <v>CENTRO DE NEUROREHABILITACION APAES SAS</v>
          </cell>
          <cell r="E78">
            <v>900328450</v>
          </cell>
          <cell r="F78">
            <v>5</v>
          </cell>
          <cell r="G78" t="str">
            <v>CENTRO DE NEUROREHABILITACION APAES SAS</v>
          </cell>
          <cell r="H78" t="str">
            <v>Privada</v>
          </cell>
        </row>
        <row r="79">
          <cell r="B79">
            <v>7600103227</v>
          </cell>
          <cell r="C79" t="str">
            <v>CENTRO DE NEUROREHABILITACION SURGIR S.A.S.</v>
          </cell>
          <cell r="E79">
            <v>800170915</v>
          </cell>
          <cell r="F79">
            <v>4</v>
          </cell>
          <cell r="G79" t="str">
            <v>CENTRO DE NEUROREHABILITACION SURGIR S.A.S.</v>
          </cell>
          <cell r="H79" t="str">
            <v>Privada</v>
          </cell>
        </row>
        <row r="80">
          <cell r="B80">
            <v>7600101078</v>
          </cell>
          <cell r="C80" t="str">
            <v>CENTRO DE ORTOPEDIA Y FRACTURAS S.A.</v>
          </cell>
          <cell r="E80">
            <v>800004579</v>
          </cell>
          <cell r="F80">
            <v>2</v>
          </cell>
          <cell r="G80" t="str">
            <v>CENTRO DE ORTOPEDIA Y FRACTURAS S.A.</v>
          </cell>
          <cell r="H80" t="str">
            <v>Privada</v>
          </cell>
        </row>
        <row r="81">
          <cell r="B81">
            <v>7600102200</v>
          </cell>
          <cell r="C81" t="str">
            <v>CENTRO DE REHABILITACION DEL SUR</v>
          </cell>
          <cell r="E81">
            <v>890315368</v>
          </cell>
          <cell r="F81">
            <v>7</v>
          </cell>
          <cell r="G81" t="str">
            <v>CENTRO DE REHABILITACION DEL SUR</v>
          </cell>
          <cell r="H81" t="str">
            <v>Privada</v>
          </cell>
        </row>
        <row r="82">
          <cell r="B82">
            <v>7600109653</v>
          </cell>
          <cell r="C82" t="str">
            <v>CENTRO DE SERVICIOS DE SALUD SANTANGEL SAS</v>
          </cell>
          <cell r="E82">
            <v>900063271</v>
          </cell>
          <cell r="F82">
            <v>4</v>
          </cell>
          <cell r="G82" t="str">
            <v>CENTRO DE SERVICIOS SANTANGEL SAS</v>
          </cell>
          <cell r="H82" t="str">
            <v>Privada</v>
          </cell>
        </row>
        <row r="83">
          <cell r="B83">
            <v>7600115820</v>
          </cell>
          <cell r="C83" t="str">
            <v>CENTRO DE TRATAMIENTOS NO INVASIVOS S.A.S.</v>
          </cell>
          <cell r="E83">
            <v>901026638</v>
          </cell>
          <cell r="F83">
            <v>1</v>
          </cell>
          <cell r="G83" t="str">
            <v>CENTRO DE TRATAMIENTOS NO INVASIVOS S.A.S.</v>
          </cell>
          <cell r="H83" t="str">
            <v>Privada</v>
          </cell>
        </row>
        <row r="84">
          <cell r="B84">
            <v>7600107294</v>
          </cell>
          <cell r="C84" t="str">
            <v>CENTRO DIAGNOSTICO URIBE E.U</v>
          </cell>
          <cell r="E84">
            <v>900247268</v>
          </cell>
          <cell r="F84">
            <v>2</v>
          </cell>
          <cell r="G84" t="str">
            <v>CENTRO DIAGNOSTICO URIBE E.U</v>
          </cell>
          <cell r="H84" t="str">
            <v>Privada</v>
          </cell>
        </row>
        <row r="85">
          <cell r="B85">
            <v>7600103633</v>
          </cell>
          <cell r="C85" t="str">
            <v>CENTRO ELECTRO AUDITIVO NACIONAL AL SERVICIO DE LA REHABILITACION SAS</v>
          </cell>
          <cell r="E85">
            <v>890316171</v>
          </cell>
          <cell r="F85">
            <v>8</v>
          </cell>
          <cell r="G85" t="str">
            <v>CENTRO ELECTRO AUDITIVO NACIONAL AL SERVICIO DE LA REHABILITACION SAS</v>
          </cell>
          <cell r="H85" t="str">
            <v>Privada</v>
          </cell>
        </row>
        <row r="86">
          <cell r="B86">
            <v>7600109603</v>
          </cell>
          <cell r="C86" t="str">
            <v>CENTRO ESPECIALISTA MEDICINA SALUD OCUPACIONAL CEMSO SAS</v>
          </cell>
          <cell r="E86">
            <v>900738322</v>
          </cell>
          <cell r="F86">
            <v>1</v>
          </cell>
          <cell r="G86" t="str">
            <v>CENTRO ESPECIALISTA MEDICINA SALUD OCUPACIONAL CEMSO SAS</v>
          </cell>
          <cell r="H86" t="str">
            <v>Privada</v>
          </cell>
        </row>
        <row r="87">
          <cell r="B87">
            <v>7600115992</v>
          </cell>
          <cell r="C87" t="str">
            <v>CENTRO ESPECIALIZADO DE ENDOCRINOLOGIA Y OBESIDAD DR MIGUEL FOLLECO SAS</v>
          </cell>
          <cell r="E87">
            <v>901767428</v>
          </cell>
          <cell r="F87">
            <v>9</v>
          </cell>
          <cell r="G87" t="str">
            <v>Centro Especializado de Endocrinologia y Obesidad Dr Miguel Folleco SAS</v>
          </cell>
          <cell r="H87" t="str">
            <v>Privada</v>
          </cell>
        </row>
        <row r="88">
          <cell r="B88">
            <v>7600101723</v>
          </cell>
          <cell r="C88" t="str">
            <v>CENTRO ESPECIALIZADO EN FRACTURAS Y LESIONES DEPORTIVAS</v>
          </cell>
          <cell r="E88">
            <v>800220806</v>
          </cell>
          <cell r="F88">
            <v>5</v>
          </cell>
          <cell r="G88" t="str">
            <v>CENTRO ESPECIALIZADO EN FRACTURAS Y LESIONES DEPORTIVAS</v>
          </cell>
          <cell r="H88" t="str">
            <v>Privada</v>
          </cell>
        </row>
        <row r="89">
          <cell r="B89">
            <v>7600111259</v>
          </cell>
          <cell r="C89" t="str">
            <v>Centro Integral de Cirugía - Clínica Laser SAS</v>
          </cell>
          <cell r="E89">
            <v>900327409</v>
          </cell>
          <cell r="F89">
            <v>8</v>
          </cell>
          <cell r="G89" t="str">
            <v>Centro Integral de Cirugía - Clínica Laser SAS</v>
          </cell>
          <cell r="H89" t="str">
            <v>Privada</v>
          </cell>
        </row>
        <row r="90">
          <cell r="B90">
            <v>7600116203</v>
          </cell>
          <cell r="C90" t="str">
            <v>CENTRO INTEGRAL DE ELECTRODIAGNOSTICO Y REHABILITACION S.A.S.</v>
          </cell>
          <cell r="E90">
            <v>901860928</v>
          </cell>
          <cell r="F90">
            <v>7</v>
          </cell>
          <cell r="G90" t="str">
            <v>CENTRO INTEGRAL DE ELECTRODIAGNOSTICO Y REHABILITACION S.A.S.</v>
          </cell>
          <cell r="H90" t="str">
            <v>Privada</v>
          </cell>
        </row>
        <row r="91">
          <cell r="B91">
            <v>7600116256</v>
          </cell>
          <cell r="C91" t="str">
            <v>CENTRO INTEGRAL MEDICO DE ESPECIALISTAS S.A.S</v>
          </cell>
          <cell r="E91">
            <v>901409659</v>
          </cell>
          <cell r="F91">
            <v>9</v>
          </cell>
          <cell r="G91" t="str">
            <v>CENTRO INTEGRAL MEDICO DE ESPECIALISTAS S.A.S</v>
          </cell>
          <cell r="H91" t="str">
            <v>Privada</v>
          </cell>
        </row>
        <row r="92">
          <cell r="B92">
            <v>7600109657</v>
          </cell>
          <cell r="C92" t="str">
            <v>CENTRO INTEGRAL NEUROEDUCATIVO DEL VALLE "CINEV" SAS</v>
          </cell>
          <cell r="E92">
            <v>900594656</v>
          </cell>
          <cell r="F92">
            <v>4</v>
          </cell>
          <cell r="G92" t="str">
            <v>CENTRO INTEGRAL NEUROEDUCATIVO DEL VALLE "CINEV" SAS</v>
          </cell>
          <cell r="H92" t="str">
            <v>Privada</v>
          </cell>
        </row>
        <row r="93">
          <cell r="B93">
            <v>7600110829</v>
          </cell>
          <cell r="C93" t="str">
            <v>CENTRO INTERNACIONAL DE ATENCION PARA TRASTORNOS DEL DESARROLLO SOMOS S.A.S.</v>
          </cell>
          <cell r="E93">
            <v>900999274</v>
          </cell>
          <cell r="F93">
            <v>3</v>
          </cell>
          <cell r="G93" t="str">
            <v>CENTRO INTERNACIONAL DE ATENCION PARA TRASTORNOS DEL DESARROLLO SOMOS S.A.S.</v>
          </cell>
          <cell r="H93" t="str">
            <v>Privada</v>
          </cell>
        </row>
        <row r="94">
          <cell r="B94">
            <v>7600103347</v>
          </cell>
          <cell r="C94" t="str">
            <v>CENTRO MEDICO AFICENTER S.A.S</v>
          </cell>
          <cell r="E94">
            <v>805025635</v>
          </cell>
          <cell r="F94">
            <v>5</v>
          </cell>
          <cell r="G94" t="str">
            <v>CENTRO MEDICO AFICENTER S.A.S</v>
          </cell>
          <cell r="H94" t="str">
            <v>Privada</v>
          </cell>
        </row>
        <row r="95">
          <cell r="B95">
            <v>7600115418</v>
          </cell>
          <cell r="C95" t="str">
            <v>CENTRO MEDICO CIFUENTES IPS SAS</v>
          </cell>
          <cell r="E95">
            <v>901595745</v>
          </cell>
          <cell r="F95">
            <v>1</v>
          </cell>
          <cell r="G95" t="str">
            <v>CENTRO MEDICO CIFUENTES IPS SAS</v>
          </cell>
          <cell r="H95" t="str">
            <v>Privada</v>
          </cell>
        </row>
        <row r="96">
          <cell r="B96">
            <v>7600107502</v>
          </cell>
          <cell r="C96" t="str">
            <v>CENTRO MEDICO DE ATENCION NEUROLOGICA NEUROLOGOS DE OCCIDENTE SAS</v>
          </cell>
          <cell r="E96">
            <v>900293837</v>
          </cell>
          <cell r="F96">
            <v>9</v>
          </cell>
          <cell r="G96" t="str">
            <v>CENTRO MEDICO DE ATENCION NEUROLOGICA NEUROLOGOS DE OCCIDENTE SAS</v>
          </cell>
          <cell r="H96" t="str">
            <v>Privada</v>
          </cell>
        </row>
        <row r="97">
          <cell r="B97">
            <v>7600111489</v>
          </cell>
          <cell r="C97" t="str">
            <v>centro medico en seguridad y salud en el trabajo sas</v>
          </cell>
          <cell r="E97">
            <v>901127967</v>
          </cell>
          <cell r="F97">
            <v>1</v>
          </cell>
          <cell r="G97" t="str">
            <v>centro medico en seguridad y salud en el trabajo sas</v>
          </cell>
          <cell r="H97" t="str">
            <v>Privada</v>
          </cell>
        </row>
        <row r="98">
          <cell r="B98">
            <v>7600110012</v>
          </cell>
          <cell r="C98" t="str">
            <v>CENTRO MEDICO INTEGRATIVO MANA S.A.S.</v>
          </cell>
          <cell r="E98">
            <v>900759245</v>
          </cell>
          <cell r="F98">
            <v>0</v>
          </cell>
          <cell r="G98" t="str">
            <v>CENTRO MEDICO INTEGRATIVO MANA S.A.S.</v>
          </cell>
          <cell r="H98" t="str">
            <v>Privada</v>
          </cell>
        </row>
        <row r="99">
          <cell r="B99">
            <v>7600102461</v>
          </cell>
          <cell r="C99" t="str">
            <v>CENTRO MEDICO IP SALUD SAS</v>
          </cell>
          <cell r="E99">
            <v>805019703</v>
          </cell>
          <cell r="F99">
            <v>3</v>
          </cell>
          <cell r="G99" t="str">
            <v>CENTRO MEDICO IP SALUD SAS</v>
          </cell>
          <cell r="H99" t="str">
            <v>Privada</v>
          </cell>
        </row>
        <row r="100">
          <cell r="B100">
            <v>7600108459</v>
          </cell>
          <cell r="C100" t="str">
            <v>CENTRO MEDICO LABORAL S.A.S</v>
          </cell>
          <cell r="E100">
            <v>900463465</v>
          </cell>
          <cell r="F100">
            <v>2</v>
          </cell>
          <cell r="G100" t="str">
            <v>CENTRO MEDICO LABORAL S.A.S</v>
          </cell>
          <cell r="H100" t="str">
            <v>Privada</v>
          </cell>
        </row>
        <row r="101">
          <cell r="B101">
            <v>7600108063</v>
          </cell>
          <cell r="C101" t="str">
            <v>CENTRO MEDICO OCUPACIONAL DEL VALLE S.A.S.</v>
          </cell>
          <cell r="E101">
            <v>900392343</v>
          </cell>
          <cell r="F101">
            <v>7</v>
          </cell>
          <cell r="G101" t="str">
            <v>CENTRO MEDICO OCUPACIONAL DEL VALLE S.A.S.</v>
          </cell>
          <cell r="H101" t="str">
            <v>Privada</v>
          </cell>
        </row>
        <row r="102">
          <cell r="B102">
            <v>7600109749</v>
          </cell>
          <cell r="C102" t="str">
            <v>CENTRO MEDICO OFTALMOLOGICO Y LABORATORIO CLINICO ANDRADE NARVAEZ SOCIEDAD POR ACCIONES SIMPLIFICADA SIGLA COLCAN S.A.S.</v>
          </cell>
          <cell r="E102">
            <v>800066001</v>
          </cell>
          <cell r="F102">
            <v>3</v>
          </cell>
          <cell r="G102" t="str">
            <v>CENTRO MEDICO OFTALMOLOGICO Y LABORATORIO CLINICO ANDRADE NARVAEZ SOCIEDAD POR ACCIONES SIMPLIFICADA SIGLA COLCAN S.A.S.</v>
          </cell>
          <cell r="H102" t="str">
            <v>Privada</v>
          </cell>
        </row>
        <row r="103">
          <cell r="B103">
            <v>7600106821</v>
          </cell>
          <cell r="C103" t="str">
            <v>CENTRO MEDICO POR SALUD E.U.</v>
          </cell>
          <cell r="E103">
            <v>900193410</v>
          </cell>
          <cell r="F103">
            <v>9</v>
          </cell>
          <cell r="G103" t="str">
            <v>CENTRO MEDICO POR SALUD E.U.</v>
          </cell>
          <cell r="H103" t="str">
            <v>Privada</v>
          </cell>
        </row>
        <row r="104">
          <cell r="B104">
            <v>7600110772</v>
          </cell>
          <cell r="C104" t="str">
            <v>Centro Medico Santuario S.A.S - Renovalaser</v>
          </cell>
          <cell r="E104">
            <v>900928569</v>
          </cell>
          <cell r="F104">
            <v>7</v>
          </cell>
          <cell r="G104" t="str">
            <v>Centro Medico Santuario S.A.S - Renovalaser</v>
          </cell>
          <cell r="H104" t="str">
            <v>Privada</v>
          </cell>
        </row>
        <row r="105">
          <cell r="B105">
            <v>7600107817</v>
          </cell>
          <cell r="C105" t="str">
            <v>CENTRO MEDICO TEQUENDAMA IPS SAS</v>
          </cell>
          <cell r="E105">
            <v>900351447</v>
          </cell>
          <cell r="F105">
            <v>9</v>
          </cell>
          <cell r="G105" t="str">
            <v>CENTRO MEDICO TEQUENDAMA IPS SAS</v>
          </cell>
          <cell r="H105" t="str">
            <v>Privada</v>
          </cell>
        </row>
        <row r="106">
          <cell r="B106">
            <v>7600110187</v>
          </cell>
          <cell r="C106" t="str">
            <v>CENTRO MEDICO Y DE REHABILITACION VALLE SALUD SAS</v>
          </cell>
          <cell r="E106">
            <v>900847382</v>
          </cell>
          <cell r="F106">
            <v>9</v>
          </cell>
          <cell r="G106" t="str">
            <v>CENTRO MEDICO Y DE REHABILITACION VALLE SALUD S.A.S</v>
          </cell>
          <cell r="H106" t="str">
            <v>Privada</v>
          </cell>
        </row>
        <row r="107">
          <cell r="B107">
            <v>7600107370</v>
          </cell>
          <cell r="C107" t="str">
            <v>CENTRO ODONTOLOGICO ODONTOPEGA SOCIEDAD POR ACCIONES SIMPLIFICADA</v>
          </cell>
          <cell r="E107">
            <v>900272942</v>
          </cell>
          <cell r="F107">
            <v>4</v>
          </cell>
          <cell r="G107" t="str">
            <v>CENTRO ODONTOLOGICO ODONTOPEGA SOCIEDAD POR ACCIONES SIMPLIFICADA</v>
          </cell>
          <cell r="H107" t="str">
            <v>Privada</v>
          </cell>
        </row>
        <row r="108">
          <cell r="B108">
            <v>7600106341</v>
          </cell>
          <cell r="C108" t="str">
            <v>CENTRO ODONTOLOGOS ESPECIALISTAS SAS</v>
          </cell>
          <cell r="E108">
            <v>830511716</v>
          </cell>
          <cell r="F108">
            <v>9</v>
          </cell>
          <cell r="G108" t="str">
            <v>CENTRO ODONTOLOGOS ESPECIALISTAS LTDA</v>
          </cell>
          <cell r="H108" t="str">
            <v>Privada</v>
          </cell>
        </row>
        <row r="109">
          <cell r="B109">
            <v>7600106282</v>
          </cell>
          <cell r="C109" t="str">
            <v>CENTRO OPTICO SOL Y LUNA LTDA</v>
          </cell>
          <cell r="E109">
            <v>900060262</v>
          </cell>
          <cell r="F109">
            <v>4</v>
          </cell>
          <cell r="G109" t="str">
            <v>CENTRO OPTICO SOL Y LUNA LTDA</v>
          </cell>
          <cell r="H109" t="str">
            <v>Privada</v>
          </cell>
        </row>
        <row r="110">
          <cell r="B110">
            <v>7600108174</v>
          </cell>
          <cell r="C110" t="str">
            <v>CENTRO PARA TRASTORNOS DEL DESARROLLO KARITAS S.A.S.</v>
          </cell>
          <cell r="E110">
            <v>900420351</v>
          </cell>
          <cell r="F110">
            <v>7</v>
          </cell>
          <cell r="G110" t="str">
            <v>CENTRO PARA TRASTORNOS DEL DESARROLLO KARITAS S.A.S.</v>
          </cell>
          <cell r="H110" t="str">
            <v>Privada</v>
          </cell>
        </row>
        <row r="111">
          <cell r="B111">
            <v>7600101884</v>
          </cell>
          <cell r="C111" t="str">
            <v>CENTRO QUIRURGICO DE LA BELLEZA</v>
          </cell>
          <cell r="E111">
            <v>800116511</v>
          </cell>
          <cell r="F111">
            <v>3</v>
          </cell>
          <cell r="G111" t="str">
            <v>CENTRO QUIRURGICO DE LA BELLEZA</v>
          </cell>
          <cell r="H111" t="str">
            <v>Privada</v>
          </cell>
        </row>
        <row r="112">
          <cell r="B112">
            <v>7600111458</v>
          </cell>
          <cell r="C112" t="str">
            <v>CENTRO QUIRURGICO LIMONAR S.A.S</v>
          </cell>
          <cell r="E112">
            <v>901103437</v>
          </cell>
          <cell r="F112">
            <v>6</v>
          </cell>
          <cell r="G112" t="str">
            <v>CENTRO QUIRURGICO LIMONAR S.A.S</v>
          </cell>
          <cell r="H112" t="str">
            <v>Privada</v>
          </cell>
        </row>
        <row r="113">
          <cell r="B113">
            <v>7600110600</v>
          </cell>
          <cell r="C113" t="str">
            <v>CENTRO RADIOLOGICO DEL OCCIDENTE S.A.S.</v>
          </cell>
          <cell r="E113">
            <v>900914923</v>
          </cell>
          <cell r="F113">
            <v>0</v>
          </cell>
          <cell r="G113" t="str">
            <v>CENTRO RADIOLOGICO DEL OCCIDENTE S.A.S.</v>
          </cell>
          <cell r="H113" t="str">
            <v>Privada</v>
          </cell>
        </row>
        <row r="114">
          <cell r="B114">
            <v>7600103340</v>
          </cell>
          <cell r="C114" t="str">
            <v>CENTRO RADIOLOGICO ORAL Y MAXILOFACIAL S.A.S. CROMAX</v>
          </cell>
          <cell r="E114">
            <v>800015779</v>
          </cell>
          <cell r="F114">
            <v>6</v>
          </cell>
          <cell r="G114" t="str">
            <v>CENTRO RADIOLOGICO ORAL Y MAXILOFACIAL S.A.S. CROMAX</v>
          </cell>
          <cell r="H114" t="str">
            <v>Privada</v>
          </cell>
        </row>
        <row r="115">
          <cell r="B115">
            <v>7600110901</v>
          </cell>
          <cell r="C115" t="str">
            <v>Centros Integrales de Fisioterapia y Rehabilitacion Fisica JES S.A.S.</v>
          </cell>
          <cell r="E115">
            <v>901032757</v>
          </cell>
          <cell r="F115">
            <v>2</v>
          </cell>
          <cell r="G115" t="str">
            <v>Centros Integrales de Fisioterapia y Rehabilitacion Fisica JES S.A.S.</v>
          </cell>
          <cell r="H115" t="str">
            <v>Privada</v>
          </cell>
        </row>
        <row r="116">
          <cell r="B116">
            <v>7600112588</v>
          </cell>
          <cell r="C116" t="str">
            <v>CENTROS MEDICOS COLSANITAS S.A.S</v>
          </cell>
          <cell r="E116">
            <v>901041691</v>
          </cell>
          <cell r="F116">
            <v>3</v>
          </cell>
          <cell r="G116" t="str">
            <v>CENTROS MEDICOS COLSANITAS S.A.S</v>
          </cell>
          <cell r="H116" t="str">
            <v>Privada</v>
          </cell>
        </row>
        <row r="117">
          <cell r="B117">
            <v>7600105765</v>
          </cell>
          <cell r="C117" t="str">
            <v>CHRISTUS SINERGIA SALUD S.A</v>
          </cell>
          <cell r="E117">
            <v>800212422</v>
          </cell>
          <cell r="F117">
            <v>7</v>
          </cell>
          <cell r="G117" t="str">
            <v>CHRISTUS SINERGIA SALUD S.A</v>
          </cell>
          <cell r="H117" t="str">
            <v>Privada</v>
          </cell>
        </row>
        <row r="118">
          <cell r="B118">
            <v>7600108265</v>
          </cell>
          <cell r="C118" t="str">
            <v>CHRISTUS SINERGIA SERVICIOS AMBULATORIOS S.A.S.</v>
          </cell>
          <cell r="E118">
            <v>900363673</v>
          </cell>
          <cell r="F118">
            <v>9</v>
          </cell>
          <cell r="G118" t="str">
            <v>CHRISTUS SINERGIA SERVICIOS AMBULATORIOS S.A.S.</v>
          </cell>
          <cell r="H118" t="str">
            <v>Privada</v>
          </cell>
        </row>
        <row r="119">
          <cell r="B119">
            <v>7600112940</v>
          </cell>
          <cell r="C119" t="str">
            <v>CLINI HOME IPS</v>
          </cell>
          <cell r="E119">
            <v>901385556</v>
          </cell>
          <cell r="F119">
            <v>3</v>
          </cell>
          <cell r="G119" t="str">
            <v>CLINI HOME IPS S.A.S.</v>
          </cell>
          <cell r="H119" t="str">
            <v>Privada</v>
          </cell>
        </row>
        <row r="120">
          <cell r="B120">
            <v>7600109398</v>
          </cell>
          <cell r="C120" t="str">
            <v>CLINICA NEUMOLOGICA DEL PACIFICO S.A.S</v>
          </cell>
          <cell r="E120">
            <v>900686381</v>
          </cell>
          <cell r="F120">
            <v>1</v>
          </cell>
          <cell r="G120" t="str">
            <v>CLINICA NEUMOLOGICA DEL PACIFICO S.A.S</v>
          </cell>
          <cell r="H120" t="str">
            <v>Privada</v>
          </cell>
        </row>
        <row r="121">
          <cell r="B121">
            <v>7600111292</v>
          </cell>
          <cell r="C121" t="str">
            <v>CLINICA ANI - H&amp;G SAS</v>
          </cell>
          <cell r="E121">
            <v>901006705</v>
          </cell>
          <cell r="F121">
            <v>1</v>
          </cell>
          <cell r="G121" t="str">
            <v>CLINICA ANI - H&amp;G SAS</v>
          </cell>
          <cell r="H121" t="str">
            <v>Privada</v>
          </cell>
        </row>
        <row r="122">
          <cell r="B122">
            <v>7600101390</v>
          </cell>
          <cell r="C122" t="str">
            <v>CLINICA BASILIA S.A.S</v>
          </cell>
          <cell r="E122">
            <v>805016107</v>
          </cell>
          <cell r="F122">
            <v>1</v>
          </cell>
          <cell r="G122" t="str">
            <v>CLINICA BASILIA S.A.S</v>
          </cell>
          <cell r="H122" t="str">
            <v>Privada</v>
          </cell>
        </row>
        <row r="123">
          <cell r="B123">
            <v>7600110386</v>
          </cell>
          <cell r="C123" t="str">
            <v>CLINICA CASTELLANA S.A.S.</v>
          </cell>
          <cell r="E123">
            <v>900668922</v>
          </cell>
          <cell r="F123">
            <v>8</v>
          </cell>
          <cell r="G123" t="str">
            <v>CLINICA CASTELLANA S.A.S.</v>
          </cell>
          <cell r="H123" t="str">
            <v>Privada</v>
          </cell>
        </row>
        <row r="124">
          <cell r="B124">
            <v>7600104336</v>
          </cell>
          <cell r="C124" t="str">
            <v>CLÍNICA COLSANITAS S.A.</v>
          </cell>
          <cell r="E124">
            <v>800149384</v>
          </cell>
          <cell r="F124">
            <v>6</v>
          </cell>
          <cell r="G124" t="str">
            <v>CLÍNICA COLSANITAS S.A.</v>
          </cell>
          <cell r="H124" t="str">
            <v>Privada</v>
          </cell>
        </row>
        <row r="125">
          <cell r="B125">
            <v>7600108153</v>
          </cell>
          <cell r="C125" t="str">
            <v>clínica cuerpo y color sas</v>
          </cell>
          <cell r="E125">
            <v>900405472</v>
          </cell>
          <cell r="F125">
            <v>7</v>
          </cell>
          <cell r="G125" t="str">
            <v>CLINICA CUERPO Y COLOR S.A.S</v>
          </cell>
          <cell r="H125" t="str">
            <v>Privada</v>
          </cell>
        </row>
        <row r="126">
          <cell r="B126">
            <v>7600108307</v>
          </cell>
          <cell r="C126" t="str">
            <v>CLINICA DE ARTRITIS TEMPRANA S.A.S.</v>
          </cell>
          <cell r="E126">
            <v>900392743</v>
          </cell>
          <cell r="F126">
            <v>1</v>
          </cell>
          <cell r="G126" t="str">
            <v>CLINICA DE ARTRITIS TEMPRANA S.A.S.</v>
          </cell>
          <cell r="H126" t="str">
            <v>Privada</v>
          </cell>
        </row>
        <row r="127">
          <cell r="B127">
            <v>7600109734</v>
          </cell>
          <cell r="C127" t="str">
            <v>CLINICA DE COLON RECTO Y ANO S.A.S</v>
          </cell>
          <cell r="E127">
            <v>900648609</v>
          </cell>
          <cell r="F127">
            <v>1</v>
          </cell>
          <cell r="G127" t="str">
            <v>CLINICA DE COLON RECTO Y ANO S.A.S</v>
          </cell>
          <cell r="H127" t="str">
            <v>Privada</v>
          </cell>
        </row>
        <row r="128">
          <cell r="B128">
            <v>7600110186</v>
          </cell>
          <cell r="C128" t="str">
            <v>CLINICA DE ESTETICA SPLENDOR DE GLORIA JARAMILLO S.A.S</v>
          </cell>
          <cell r="E128">
            <v>900677804</v>
          </cell>
          <cell r="F128">
            <v>5</v>
          </cell>
          <cell r="G128" t="str">
            <v>CLINICA DE ESTETICA SPLENDOR DE GLORIA JARAMILLO S.A.S</v>
          </cell>
          <cell r="H128" t="str">
            <v>Privada</v>
          </cell>
        </row>
        <row r="129">
          <cell r="B129">
            <v>7600102508</v>
          </cell>
          <cell r="C129" t="str">
            <v>CLINICA DE FRACTURAS DE CALI S.A.S</v>
          </cell>
          <cell r="E129">
            <v>890311763</v>
          </cell>
          <cell r="F129">
            <v>5</v>
          </cell>
          <cell r="G129" t="str">
            <v>CLINICA DE FRACTURAS DE CALI S.A.S</v>
          </cell>
          <cell r="H129" t="str">
            <v>Privada</v>
          </cell>
        </row>
        <row r="130">
          <cell r="B130">
            <v>7600101317</v>
          </cell>
          <cell r="C130" t="str">
            <v>Clinica de la Rodilla SAS</v>
          </cell>
          <cell r="E130">
            <v>800187097</v>
          </cell>
          <cell r="F130">
            <v>9</v>
          </cell>
          <cell r="G130" t="str">
            <v>Clinica de la Rodilla SAS</v>
          </cell>
          <cell r="H130" t="str">
            <v>Privada</v>
          </cell>
        </row>
        <row r="131">
          <cell r="B131">
            <v>7600100441</v>
          </cell>
          <cell r="C131" t="str">
            <v>CLINICA DE LA VISION DEL VALLE SAS</v>
          </cell>
          <cell r="E131">
            <v>805017914</v>
          </cell>
          <cell r="F131">
            <v>1</v>
          </cell>
          <cell r="G131" t="str">
            <v>CLINICA DE LA VISION DEL VALLE SAS</v>
          </cell>
          <cell r="H131" t="str">
            <v>Privada</v>
          </cell>
        </row>
        <row r="132">
          <cell r="B132">
            <v>7600103066</v>
          </cell>
          <cell r="C132" t="str">
            <v>CLINICA DE OCCIDENTE</v>
          </cell>
          <cell r="E132">
            <v>890300513</v>
          </cell>
          <cell r="F132">
            <v>3</v>
          </cell>
          <cell r="G132" t="str">
            <v>CLINICA DE OCCIDENTE</v>
          </cell>
          <cell r="H132" t="str">
            <v>Privada</v>
          </cell>
        </row>
        <row r="133">
          <cell r="B133">
            <v>7600100294</v>
          </cell>
          <cell r="C133" t="str">
            <v>CLINICA DE OFTALMOLOGIA DE CALI</v>
          </cell>
          <cell r="E133">
            <v>890320032</v>
          </cell>
          <cell r="F133">
            <v>8</v>
          </cell>
          <cell r="G133" t="str">
            <v>CLINICA DE OFTALMOLOGIA DE CALI</v>
          </cell>
          <cell r="H133" t="str">
            <v>Privada</v>
          </cell>
        </row>
        <row r="134">
          <cell r="B134">
            <v>7600101329</v>
          </cell>
          <cell r="C134" t="str">
            <v>CLINICA DE OTORRINOLARINGOLOGIA CIRUGIA PLASTICA</v>
          </cell>
          <cell r="E134">
            <v>800138186</v>
          </cell>
          <cell r="F134">
            <v>7</v>
          </cell>
          <cell r="G134" t="str">
            <v>CLINICA DE OTORRINOLARINGOLOGIA CIRUGIA PLASTICA</v>
          </cell>
          <cell r="H134" t="str">
            <v>Privada</v>
          </cell>
        </row>
        <row r="135">
          <cell r="B135">
            <v>7600102192</v>
          </cell>
          <cell r="C135" t="str">
            <v>CLINICA DEL COLON SAS</v>
          </cell>
          <cell r="E135">
            <v>805019003</v>
          </cell>
          <cell r="F135">
            <v>6</v>
          </cell>
          <cell r="G135" t="str">
            <v>CLINICA DEL COLON SAS</v>
          </cell>
          <cell r="H135" t="str">
            <v>Privada</v>
          </cell>
        </row>
        <row r="136">
          <cell r="B136">
            <v>7600112931</v>
          </cell>
          <cell r="C136" t="str">
            <v>CLINICA DENTAL KERALTY SAS</v>
          </cell>
          <cell r="E136">
            <v>901449584</v>
          </cell>
          <cell r="F136">
            <v>6</v>
          </cell>
          <cell r="G136" t="str">
            <v>CLINICA DENTAL KERALTY SAS</v>
          </cell>
          <cell r="H136" t="str">
            <v>Privada</v>
          </cell>
        </row>
        <row r="137">
          <cell r="B137">
            <v>7600109837</v>
          </cell>
          <cell r="C137" t="str">
            <v>CLINICA DESA CALI</v>
          </cell>
          <cell r="E137">
            <v>900771349</v>
          </cell>
          <cell r="F137">
            <v>7</v>
          </cell>
          <cell r="G137" t="str">
            <v>CLINICA DESA CALI</v>
          </cell>
          <cell r="H137" t="str">
            <v>Privada</v>
          </cell>
        </row>
        <row r="138">
          <cell r="B138">
            <v>7600115831</v>
          </cell>
          <cell r="C138" t="str">
            <v>CLINICA DR. LUIS LASSO.SALUD,FUNCION Y BIENESTAR S.A.S.</v>
          </cell>
          <cell r="E138">
            <v>901231861</v>
          </cell>
          <cell r="F138">
            <v>4</v>
          </cell>
          <cell r="G138" t="str">
            <v>CLINICA DR. LUIS LASSO, SALUD, FUNCION Y BIENESTAR S.A.S</v>
          </cell>
          <cell r="H138" t="str">
            <v>Privada</v>
          </cell>
        </row>
        <row r="139">
          <cell r="B139">
            <v>7600108386</v>
          </cell>
          <cell r="C139" t="str">
            <v>CLINICA ESPECIALIZADA ODONTOPREVENIR SAS</v>
          </cell>
          <cell r="E139">
            <v>900352747</v>
          </cell>
          <cell r="F139">
            <v>8</v>
          </cell>
          <cell r="G139" t="str">
            <v>CLINICA ESPECIALIZADA ODONTOPREVENIR S.A.S</v>
          </cell>
          <cell r="H139" t="str">
            <v>Privada</v>
          </cell>
        </row>
        <row r="140">
          <cell r="B140">
            <v>7600116094</v>
          </cell>
          <cell r="C140" t="str">
            <v>CLINICA FENIX IPS S.A.S</v>
          </cell>
          <cell r="E140">
            <v>901673497</v>
          </cell>
          <cell r="F140">
            <v>2</v>
          </cell>
          <cell r="G140" t="str">
            <v>CLINICA FENIX IPS S.A.S</v>
          </cell>
          <cell r="H140" t="str">
            <v>Privada</v>
          </cell>
        </row>
        <row r="141">
          <cell r="B141">
            <v>7600108136</v>
          </cell>
          <cell r="C141" t="str">
            <v>CLINICA FIORE S.A</v>
          </cell>
          <cell r="E141">
            <v>900234843</v>
          </cell>
          <cell r="F141">
            <v>1</v>
          </cell>
          <cell r="G141" t="str">
            <v>CLINICA FIORE S.A</v>
          </cell>
          <cell r="H141" t="str">
            <v>Privada</v>
          </cell>
        </row>
        <row r="142">
          <cell r="B142">
            <v>7600101111</v>
          </cell>
          <cell r="C142" t="str">
            <v>CLÍNICA IMBANACO S.A.S.</v>
          </cell>
          <cell r="E142">
            <v>890307200</v>
          </cell>
          <cell r="F142">
            <v>5</v>
          </cell>
          <cell r="G142" t="str">
            <v>CLÍNICA IMBANACO S.A.S.</v>
          </cell>
          <cell r="H142" t="str">
            <v>Privada</v>
          </cell>
        </row>
        <row r="143">
          <cell r="B143">
            <v>7600116080</v>
          </cell>
          <cell r="C143" t="str">
            <v>CLINICA INTEGRAL SAN JORGE IPS SAS</v>
          </cell>
          <cell r="E143">
            <v>901419528</v>
          </cell>
          <cell r="F143">
            <v>5</v>
          </cell>
          <cell r="G143" t="str">
            <v>CLINICA INTEGRAL SAN JORGE IPS S.A.S</v>
          </cell>
          <cell r="H143" t="str">
            <v>Privada</v>
          </cell>
        </row>
        <row r="144">
          <cell r="B144">
            <v>7600106974</v>
          </cell>
          <cell r="C144" t="str">
            <v>CLÍNICA INTERNACIONAL DE CIRUGÍA PLÁSTICA SAS</v>
          </cell>
          <cell r="E144">
            <v>900208912</v>
          </cell>
          <cell r="F144">
            <v>1</v>
          </cell>
          <cell r="G144" t="str">
            <v>CLÍNICA INTERNACIONAL DE CIRUGÍA PLÁSTICA SAS</v>
          </cell>
          <cell r="H144" t="str">
            <v>Privada</v>
          </cell>
        </row>
        <row r="145">
          <cell r="B145">
            <v>7600103338</v>
          </cell>
          <cell r="C145" t="str">
            <v>clinica interplastica sas</v>
          </cell>
          <cell r="E145">
            <v>805002321</v>
          </cell>
          <cell r="F145">
            <v>9</v>
          </cell>
          <cell r="G145" t="str">
            <v>Clinica Interplastica sas</v>
          </cell>
          <cell r="H145" t="str">
            <v>Privada</v>
          </cell>
        </row>
        <row r="146">
          <cell r="B146">
            <v>7600106164</v>
          </cell>
          <cell r="C146" t="str">
            <v>CLINICA LASER DE PIEL SAS</v>
          </cell>
          <cell r="E146">
            <v>811014239</v>
          </cell>
          <cell r="F146">
            <v>6</v>
          </cell>
          <cell r="G146" t="str">
            <v>CLINICA LASER DE PIEL SAS</v>
          </cell>
          <cell r="H146" t="str">
            <v>Privada</v>
          </cell>
        </row>
        <row r="147">
          <cell r="B147">
            <v>7600102103</v>
          </cell>
          <cell r="C147" t="str">
            <v>CLINICA LOS ANDES S.A.</v>
          </cell>
          <cell r="E147">
            <v>800178948</v>
          </cell>
          <cell r="F147">
            <v>3</v>
          </cell>
          <cell r="G147" t="str">
            <v>CLINICA LOS ANDES S.A.</v>
          </cell>
          <cell r="H147" t="str">
            <v>Privada</v>
          </cell>
        </row>
        <row r="148">
          <cell r="B148">
            <v>7600116423</v>
          </cell>
          <cell r="C148" t="str">
            <v>CLINICA MARIAND S.A.S.</v>
          </cell>
          <cell r="E148">
            <v>901973520</v>
          </cell>
          <cell r="F148">
            <v>1</v>
          </cell>
          <cell r="G148" t="str">
            <v>CLINICA MARIAND S.A.S.</v>
          </cell>
          <cell r="H148" t="str">
            <v>Privada</v>
          </cell>
        </row>
        <row r="149">
          <cell r="B149">
            <v>7600108100</v>
          </cell>
          <cell r="C149" t="str">
            <v>CLINICA MED S.A.S</v>
          </cell>
          <cell r="E149">
            <v>900124603</v>
          </cell>
          <cell r="F149">
            <v>9</v>
          </cell>
          <cell r="G149" t="str">
            <v>CLINICA MED S.A.S</v>
          </cell>
          <cell r="H149" t="str">
            <v>Privada</v>
          </cell>
        </row>
        <row r="150">
          <cell r="B150">
            <v>7600115832</v>
          </cell>
          <cell r="C150" t="str">
            <v>CLINICA MEDICA INDIGO S.A.S</v>
          </cell>
          <cell r="E150">
            <v>901828182</v>
          </cell>
          <cell r="F150">
            <v>5</v>
          </cell>
          <cell r="G150" t="str">
            <v>CLINICA MEDICA INDIGO S.A.S</v>
          </cell>
          <cell r="H150" t="str">
            <v>Privada</v>
          </cell>
        </row>
        <row r="151">
          <cell r="B151">
            <v>7600108014</v>
          </cell>
          <cell r="C151" t="str">
            <v>CLINICA NACIONAL DE PROTESIS DENTAL S.A.S.</v>
          </cell>
          <cell r="E151">
            <v>900388106</v>
          </cell>
          <cell r="F151">
            <v>2</v>
          </cell>
          <cell r="G151" t="str">
            <v>CLINICA NACIONAL DE PROTESIS DENTAL S.A.S.</v>
          </cell>
          <cell r="H151" t="str">
            <v>Privada</v>
          </cell>
        </row>
        <row r="152">
          <cell r="B152">
            <v>7600101125</v>
          </cell>
          <cell r="C152" t="str">
            <v>CLINICA NUESTRA SEÑORA DE LOS REMEDIOS</v>
          </cell>
          <cell r="E152">
            <v>890301430</v>
          </cell>
          <cell r="F152">
            <v>5</v>
          </cell>
          <cell r="G152" t="str">
            <v>CLINICA NUESTRA SEÑORA DE LOS REMEDIOS</v>
          </cell>
          <cell r="H152" t="str">
            <v>Privada</v>
          </cell>
        </row>
        <row r="153">
          <cell r="B153">
            <v>7600111592</v>
          </cell>
          <cell r="C153" t="str">
            <v>CLINICA NUEVA DE CALI SAS</v>
          </cell>
          <cell r="E153">
            <v>901158187</v>
          </cell>
          <cell r="F153">
            <v>6</v>
          </cell>
          <cell r="G153" t="str">
            <v>CLINICA NUEVA DE CALI SAS</v>
          </cell>
          <cell r="H153" t="str">
            <v>Privada</v>
          </cell>
        </row>
        <row r="154">
          <cell r="B154">
            <v>7600110360</v>
          </cell>
          <cell r="C154" t="str">
            <v>CLINICA NUEVA RAFAEL URIBE URIBE SAS</v>
          </cell>
          <cell r="E154">
            <v>900891513</v>
          </cell>
          <cell r="F154">
            <v>3</v>
          </cell>
          <cell r="G154" t="str">
            <v>CLINICA NUEVA RAFAEL URIBE URIBE SAS</v>
          </cell>
          <cell r="H154" t="str">
            <v>Privada</v>
          </cell>
        </row>
        <row r="155">
          <cell r="B155">
            <v>7600106903</v>
          </cell>
          <cell r="C155" t="str">
            <v>CLINICA NUEVA SONRISA SA</v>
          </cell>
          <cell r="E155">
            <v>805026475</v>
          </cell>
          <cell r="F155">
            <v>8</v>
          </cell>
          <cell r="G155" t="str">
            <v>CLINICA NUEVA SONRISA S.A. COSMOCENTRO</v>
          </cell>
          <cell r="H155" t="str">
            <v>Privada</v>
          </cell>
        </row>
        <row r="156">
          <cell r="B156">
            <v>7600107606</v>
          </cell>
          <cell r="C156" t="str">
            <v>CLINICA NUEVA SONRISA VALLE DE LILI E.U.</v>
          </cell>
          <cell r="E156">
            <v>900276475</v>
          </cell>
          <cell r="F156">
            <v>4</v>
          </cell>
          <cell r="G156" t="str">
            <v>CLINICA NUEVA SONRISA VALLE DE LILI E.U.</v>
          </cell>
          <cell r="H156" t="str">
            <v>Privada</v>
          </cell>
        </row>
        <row r="157">
          <cell r="B157">
            <v>7600103754</v>
          </cell>
          <cell r="C157" t="str">
            <v>CLÍNICA O'BYRNE SAS</v>
          </cell>
          <cell r="E157">
            <v>800250381</v>
          </cell>
          <cell r="F157">
            <v>5</v>
          </cell>
          <cell r="G157" t="str">
            <v>CLÍNICA O'BYRNE SAS</v>
          </cell>
          <cell r="H157" t="str">
            <v>Privada</v>
          </cell>
        </row>
        <row r="158">
          <cell r="B158">
            <v>7600108576</v>
          </cell>
          <cell r="C158" t="str">
            <v>CLINICA ODONTOLOGICA A.H S.A.S</v>
          </cell>
          <cell r="E158">
            <v>900480374</v>
          </cell>
          <cell r="F158">
            <v>2</v>
          </cell>
          <cell r="G158" t="str">
            <v>CLINICA ODONTOLOGICA A.H S.A.S</v>
          </cell>
          <cell r="H158" t="str">
            <v>Privada</v>
          </cell>
        </row>
        <row r="159">
          <cell r="B159">
            <v>7600116351</v>
          </cell>
          <cell r="C159" t="str">
            <v>Clínica Odontológica Dentoclub S.A.S.</v>
          </cell>
          <cell r="E159">
            <v>901460033</v>
          </cell>
          <cell r="F159">
            <v>4</v>
          </cell>
          <cell r="G159" t="str">
            <v>Clínica Odontológica Dentoclub S.A.S.</v>
          </cell>
          <cell r="H159" t="str">
            <v>Privada</v>
          </cell>
        </row>
        <row r="160">
          <cell r="B160">
            <v>7600107713</v>
          </cell>
          <cell r="C160" t="str">
            <v>CLINICA ODONTOLOGICA DIENTES DE SABLE LTDA</v>
          </cell>
          <cell r="E160">
            <v>900295064</v>
          </cell>
          <cell r="F160">
            <v>1</v>
          </cell>
          <cell r="G160" t="str">
            <v>CLINICA ODONTOLOGICA DIENTES DE SABLE LTDA</v>
          </cell>
          <cell r="H160" t="str">
            <v>Privada</v>
          </cell>
        </row>
        <row r="161">
          <cell r="B161">
            <v>7600107508</v>
          </cell>
          <cell r="C161" t="str">
            <v>CLINICA ODONTOLOGICA MI BOCA LTDA</v>
          </cell>
          <cell r="E161">
            <v>900275501</v>
          </cell>
          <cell r="F161">
            <v>3</v>
          </cell>
          <cell r="G161" t="str">
            <v>CLINICA ODONTOLOGICA MI BOCA LTDA</v>
          </cell>
          <cell r="H161" t="str">
            <v>Privada</v>
          </cell>
        </row>
        <row r="162">
          <cell r="B162">
            <v>7600103141</v>
          </cell>
          <cell r="C162" t="str">
            <v>CLINICA OFTALMOLOGOS DEL VALLE LTDA</v>
          </cell>
          <cell r="E162">
            <v>805008644</v>
          </cell>
          <cell r="F162">
            <v>1</v>
          </cell>
          <cell r="G162" t="str">
            <v>CLINICA OFTALMOLOGOS DEL VALLE LTDA</v>
          </cell>
          <cell r="H162" t="str">
            <v>Privada</v>
          </cell>
        </row>
        <row r="163">
          <cell r="B163">
            <v>7600116016</v>
          </cell>
          <cell r="C163" t="str">
            <v>Clinica piel de angel sas</v>
          </cell>
          <cell r="E163">
            <v>901511410</v>
          </cell>
          <cell r="F163">
            <v>8</v>
          </cell>
          <cell r="G163" t="str">
            <v>Clinica piel de angel sas</v>
          </cell>
          <cell r="H163" t="str">
            <v>Privada</v>
          </cell>
        </row>
        <row r="164">
          <cell r="B164">
            <v>7600111550</v>
          </cell>
          <cell r="C164" t="str">
            <v>clinica psicologica sas</v>
          </cell>
          <cell r="E164">
            <v>901019401</v>
          </cell>
          <cell r="F164">
            <v>2</v>
          </cell>
          <cell r="G164" t="str">
            <v>Clínica Psicológica SAS</v>
          </cell>
          <cell r="H164" t="str">
            <v>Privada</v>
          </cell>
        </row>
        <row r="165">
          <cell r="B165">
            <v>7600103013</v>
          </cell>
          <cell r="C165" t="str">
            <v>CLINICA SAN FERNANDO S.A</v>
          </cell>
          <cell r="E165">
            <v>890300516</v>
          </cell>
          <cell r="F165">
            <v>5</v>
          </cell>
          <cell r="G165" t="str">
            <v>CLINICA SAN FERNANDO S.A</v>
          </cell>
          <cell r="H165" t="str">
            <v>Privada</v>
          </cell>
        </row>
        <row r="166">
          <cell r="B166">
            <v>7600110383</v>
          </cell>
          <cell r="C166" t="str">
            <v>Clinica Santa Luciana S.A.S</v>
          </cell>
          <cell r="E166">
            <v>900799269</v>
          </cell>
          <cell r="F166">
            <v>8</v>
          </cell>
          <cell r="G166" t="str">
            <v>Clinica Santa Luciana S.A.S</v>
          </cell>
          <cell r="H166" t="str">
            <v>Privada</v>
          </cell>
        </row>
        <row r="167">
          <cell r="B167">
            <v>7600101753</v>
          </cell>
          <cell r="C167" t="str">
            <v>CLINICA SOCIAL DE ORTODONCIA</v>
          </cell>
          <cell r="E167">
            <v>800239431</v>
          </cell>
          <cell r="F167">
            <v>0</v>
          </cell>
          <cell r="G167" t="str">
            <v>CLINICA SOCIAL DE ORTODONCIA</v>
          </cell>
          <cell r="H167" t="str">
            <v>Privada</v>
          </cell>
        </row>
        <row r="168">
          <cell r="B168">
            <v>7600107605</v>
          </cell>
          <cell r="C168" t="str">
            <v>CLINICA TASCON ODONTOLOGIA S.A.S</v>
          </cell>
          <cell r="E168">
            <v>900308579</v>
          </cell>
          <cell r="F168">
            <v>0</v>
          </cell>
          <cell r="G168" t="str">
            <v>CLINICA TASCON ODONTOLOGIA S.A.S</v>
          </cell>
          <cell r="H168" t="str">
            <v>Privada</v>
          </cell>
        </row>
        <row r="169">
          <cell r="B169">
            <v>7600110459</v>
          </cell>
          <cell r="C169" t="str">
            <v>CLINICA VALLE SALUD SAN FERNANDO S.A.S</v>
          </cell>
          <cell r="E169">
            <v>900900754</v>
          </cell>
          <cell r="F169">
            <v>1</v>
          </cell>
          <cell r="G169" t="str">
            <v>CLINICA VALLE SALUD SAN FERNANDO S.A.S</v>
          </cell>
          <cell r="H169" t="str">
            <v>Privada</v>
          </cell>
        </row>
        <row r="170">
          <cell r="B170">
            <v>7600111318</v>
          </cell>
          <cell r="C170" t="str">
            <v>CLINICA VASCULAR DE CALI SAS</v>
          </cell>
          <cell r="E170">
            <v>900973690</v>
          </cell>
          <cell r="F170">
            <v>1</v>
          </cell>
          <cell r="G170" t="str">
            <v>CLINICA VASCULAR DE CALI SAS</v>
          </cell>
          <cell r="H170" t="str">
            <v>Privada</v>
          </cell>
        </row>
        <row r="171">
          <cell r="B171">
            <v>7600103359</v>
          </cell>
          <cell r="C171" t="str">
            <v>CLINICA VERSALLES S.A.</v>
          </cell>
          <cell r="E171">
            <v>800048954</v>
          </cell>
          <cell r="F171">
            <v>0</v>
          </cell>
          <cell r="G171" t="str">
            <v>CLINICA VERSALLES S.A.</v>
          </cell>
          <cell r="H171" t="str">
            <v>Privada</v>
          </cell>
        </row>
        <row r="172">
          <cell r="B172">
            <v>7600110468</v>
          </cell>
          <cell r="C172" t="str">
            <v>CLINICAS ODONTOLOGICAS ORTHOMANIA S.A.S.</v>
          </cell>
          <cell r="E172">
            <v>900925248</v>
          </cell>
          <cell r="F172">
            <v>4</v>
          </cell>
          <cell r="G172" t="str">
            <v>CLINICAS ODONTOLOGICAS ORTHOMANIA S.A.S.</v>
          </cell>
          <cell r="H172" t="str">
            <v>Privada</v>
          </cell>
        </row>
        <row r="173">
          <cell r="B173">
            <v>7600115291</v>
          </cell>
          <cell r="C173" t="str">
            <v>CLINI-DIAGNOSTICO S.A.S</v>
          </cell>
          <cell r="E173">
            <v>901447531</v>
          </cell>
          <cell r="F173">
            <v>7</v>
          </cell>
          <cell r="G173" t="str">
            <v>CLINI-DIAGNOSTICO S.A.S</v>
          </cell>
          <cell r="H173" t="str">
            <v>Privada</v>
          </cell>
        </row>
        <row r="174">
          <cell r="B174">
            <v>7600115824</v>
          </cell>
          <cell r="C174" t="str">
            <v>CLINIMAGENES SAS</v>
          </cell>
          <cell r="E174">
            <v>900701342</v>
          </cell>
          <cell r="F174">
            <v>7</v>
          </cell>
          <cell r="G174" t="str">
            <v>CLINIMAGENES SAS</v>
          </cell>
          <cell r="H174" t="str">
            <v>Privada</v>
          </cell>
        </row>
        <row r="175">
          <cell r="B175">
            <v>7600115284</v>
          </cell>
          <cell r="C175" t="str">
            <v>COGNICET IPS</v>
          </cell>
          <cell r="E175">
            <v>901587632</v>
          </cell>
          <cell r="F175">
            <v>2</v>
          </cell>
          <cell r="G175" t="str">
            <v>COGNICET IPS</v>
          </cell>
          <cell r="H175" t="str">
            <v>Privada</v>
          </cell>
        </row>
        <row r="176">
          <cell r="B176">
            <v>7600107306</v>
          </cell>
          <cell r="C176" t="str">
            <v>COI SALUD MEDICINA Y ODONTOLOGIA INTEGRAL S.A.S.</v>
          </cell>
          <cell r="E176">
            <v>900255342</v>
          </cell>
          <cell r="F176">
            <v>3</v>
          </cell>
          <cell r="G176" t="str">
            <v>COI SALUD MEDICINA Y ODONTOLOGIA INTEGRAL S.A.S.</v>
          </cell>
          <cell r="H176" t="str">
            <v>Privada</v>
          </cell>
        </row>
        <row r="177">
          <cell r="B177">
            <v>7600113005</v>
          </cell>
          <cell r="C177" t="str">
            <v>COLOMBIANA DE TRASPLANTES SAS</v>
          </cell>
          <cell r="E177">
            <v>830120157</v>
          </cell>
          <cell r="F177">
            <v>3</v>
          </cell>
          <cell r="G177" t="str">
            <v>Colombiana de Trasplantes SAS</v>
          </cell>
          <cell r="H177" t="str">
            <v>Privada</v>
          </cell>
        </row>
        <row r="178">
          <cell r="B178">
            <v>7600112337</v>
          </cell>
          <cell r="C178" t="str">
            <v>COMO EN CASA IPS</v>
          </cell>
          <cell r="E178">
            <v>901294923</v>
          </cell>
          <cell r="F178">
            <v>2</v>
          </cell>
          <cell r="G178" t="str">
            <v>COMO EN CASA IPS</v>
          </cell>
          <cell r="H178" t="str">
            <v>Privada</v>
          </cell>
        </row>
        <row r="179">
          <cell r="B179">
            <v>7600110481</v>
          </cell>
          <cell r="C179" t="str">
            <v>Compañia Calidad y Cuidado en Salud Sas</v>
          </cell>
          <cell r="E179">
            <v>900543651</v>
          </cell>
          <cell r="F179">
            <v>1</v>
          </cell>
          <cell r="G179" t="str">
            <v>Compañía calidad y cuidado en salud SAS - COMPCASA SAS</v>
          </cell>
          <cell r="H179" t="str">
            <v>Privada</v>
          </cell>
        </row>
        <row r="180">
          <cell r="B180">
            <v>7600110236</v>
          </cell>
          <cell r="C180" t="str">
            <v>CONFILAB IPS SAS</v>
          </cell>
          <cell r="E180">
            <v>900864716</v>
          </cell>
          <cell r="F180">
            <v>7</v>
          </cell>
          <cell r="G180" t="str">
            <v>CONFILAB IPS SAS</v>
          </cell>
          <cell r="H180" t="str">
            <v>Privada</v>
          </cell>
        </row>
        <row r="181">
          <cell r="B181">
            <v>7600115474</v>
          </cell>
          <cell r="C181" t="str">
            <v>Coomeva Experiencia Medica SAS</v>
          </cell>
          <cell r="E181">
            <v>901417124</v>
          </cell>
          <cell r="F181">
            <v>4</v>
          </cell>
          <cell r="G181" t="str">
            <v>Coomeva Experiencia Medica SAS</v>
          </cell>
          <cell r="H181" t="str">
            <v>Privada</v>
          </cell>
        </row>
        <row r="182">
          <cell r="B182">
            <v>7600103849</v>
          </cell>
          <cell r="C182" t="str">
            <v>COOMEVA MEDICINA PREPAGADA S.A</v>
          </cell>
          <cell r="E182">
            <v>805009741</v>
          </cell>
          <cell r="F182">
            <v>0</v>
          </cell>
          <cell r="G182" t="str">
            <v>Coomeva Medicina Prepagada S.A.</v>
          </cell>
          <cell r="H182" t="str">
            <v>Privada</v>
          </cell>
        </row>
        <row r="183">
          <cell r="B183">
            <v>7600106357</v>
          </cell>
          <cell r="C183" t="str">
            <v>CORAZON Y AORTA SAS</v>
          </cell>
          <cell r="E183">
            <v>900051107</v>
          </cell>
          <cell r="F183">
            <v>2</v>
          </cell>
          <cell r="G183" t="str">
            <v>CORAZON Y AORTA SAS</v>
          </cell>
          <cell r="H183" t="str">
            <v>Privada</v>
          </cell>
        </row>
        <row r="184">
          <cell r="B184">
            <v>7600105535</v>
          </cell>
          <cell r="C184" t="str">
            <v>CORPORACION CAMINOS</v>
          </cell>
          <cell r="E184">
            <v>890308962</v>
          </cell>
          <cell r="F184">
            <v>3</v>
          </cell>
          <cell r="G184" t="str">
            <v>CORPORACION CAMINOS</v>
          </cell>
          <cell r="H184" t="str">
            <v>Privada</v>
          </cell>
        </row>
        <row r="185">
          <cell r="B185">
            <v>7600103623</v>
          </cell>
          <cell r="C185" t="str">
            <v>CORPORACION CENTRO INTERNACIONAL DE ENTRENAMIENTO E INVESTIGACIONES MEDICAS</v>
          </cell>
          <cell r="E185">
            <v>800092879</v>
          </cell>
          <cell r="F185">
            <v>2</v>
          </cell>
          <cell r="G185" t="str">
            <v>Centro Internacional de Entrenamiento e Investigaciones Medicas CIDEIM</v>
          </cell>
          <cell r="H185" t="str">
            <v>Mixta</v>
          </cell>
        </row>
        <row r="186">
          <cell r="B186">
            <v>7600101252</v>
          </cell>
          <cell r="C186" t="str">
            <v>CORPORACION DE LUCHA CONTRA EL SIDA</v>
          </cell>
          <cell r="E186">
            <v>800171780</v>
          </cell>
          <cell r="F186">
            <v>1</v>
          </cell>
          <cell r="G186" t="str">
            <v>CORPORACION DE LUCHA CONTRA EL SIDA</v>
          </cell>
          <cell r="H186" t="str">
            <v>Privada</v>
          </cell>
        </row>
        <row r="187">
          <cell r="B187">
            <v>7600116221</v>
          </cell>
          <cell r="C187" t="str">
            <v>CORPORACION NEUROCENTER</v>
          </cell>
          <cell r="E187">
            <v>901939145</v>
          </cell>
          <cell r="F187">
            <v>9</v>
          </cell>
          <cell r="G187" t="str">
            <v>CORPORACION NEUROCENTER</v>
          </cell>
          <cell r="H187" t="str">
            <v>Privada</v>
          </cell>
        </row>
        <row r="188">
          <cell r="B188">
            <v>7600108140</v>
          </cell>
          <cell r="C188" t="str">
            <v>CORPORACION PARA EL MEJORAMIENTO VOLUNTARIO DEL SER "CORPOVSER"</v>
          </cell>
          <cell r="E188">
            <v>900184087</v>
          </cell>
          <cell r="F188">
            <v>4</v>
          </cell>
          <cell r="G188" t="str">
            <v>CORPORACION PARA EL MEJORAMIENTO VOLUNTARIO DEL SER "CORPOVSER"</v>
          </cell>
          <cell r="H188" t="str">
            <v>Privada</v>
          </cell>
        </row>
        <row r="189">
          <cell r="B189">
            <v>7600103180</v>
          </cell>
          <cell r="C189" t="str">
            <v>CORPUS Y ROSTRUM S.A.S</v>
          </cell>
          <cell r="E189">
            <v>805000720</v>
          </cell>
          <cell r="F189">
            <v>5</v>
          </cell>
          <cell r="G189" t="str">
            <v>CORPUS Y ROSTRUM S.A.S</v>
          </cell>
          <cell r="H189" t="str">
            <v>Privada</v>
          </cell>
        </row>
        <row r="190">
          <cell r="B190">
            <v>7600107674</v>
          </cell>
          <cell r="C190" t="str">
            <v>cosmeplastica sa</v>
          </cell>
          <cell r="E190">
            <v>900068032</v>
          </cell>
          <cell r="F190">
            <v>3</v>
          </cell>
          <cell r="G190" t="str">
            <v>cosmeplastica sa</v>
          </cell>
          <cell r="H190" t="str">
            <v>Privada</v>
          </cell>
        </row>
        <row r="191">
          <cell r="B191">
            <v>7600104064</v>
          </cell>
          <cell r="C191" t="str">
            <v>COSMITET LTDA ,CORPORACION DE SERVICIOS MEDICOS INTERNACIONALES THEM Y COMPAÑIA LTDA</v>
          </cell>
          <cell r="E191">
            <v>830023202</v>
          </cell>
          <cell r="F191">
            <v>1</v>
          </cell>
          <cell r="G191" t="str">
            <v>COSMITET LTDA CORPORACION DE SERVICIOS MEDICOS INTERNACINALES THEM Y CIA</v>
          </cell>
          <cell r="H191" t="str">
            <v>Privada</v>
          </cell>
        </row>
        <row r="192">
          <cell r="B192">
            <v>7600115558</v>
          </cell>
          <cell r="C192" t="str">
            <v>CRC RENUEVA SAS</v>
          </cell>
          <cell r="E192">
            <v>901646000</v>
          </cell>
          <cell r="F192">
            <v>1</v>
          </cell>
          <cell r="G192" t="str">
            <v>CRC RENUEVA S.A.S.</v>
          </cell>
          <cell r="H192" t="str">
            <v>Privada</v>
          </cell>
        </row>
        <row r="193">
          <cell r="B193">
            <v>7600103322</v>
          </cell>
          <cell r="C193" t="str">
            <v>CRUZ ROJA COLOMBIANA SECCIONAL VALLE DEL CAUCA</v>
          </cell>
          <cell r="E193">
            <v>890306215</v>
          </cell>
          <cell r="F193">
            <v>0</v>
          </cell>
          <cell r="G193" t="str">
            <v>CRUZ ROJA COLOMBIANA SECCIONAL VALLE DEL CAUCA</v>
          </cell>
          <cell r="H193" t="str">
            <v>Privada</v>
          </cell>
        </row>
        <row r="194">
          <cell r="B194">
            <v>7600112573</v>
          </cell>
          <cell r="C194" t="str">
            <v>CUIDAR SALUD IPS SAS</v>
          </cell>
          <cell r="E194">
            <v>901377922</v>
          </cell>
          <cell r="F194">
            <v>2</v>
          </cell>
          <cell r="G194" t="str">
            <v>CUIDAR SALUD IPS SAS</v>
          </cell>
          <cell r="H194" t="str">
            <v>Privada</v>
          </cell>
        </row>
        <row r="195">
          <cell r="B195">
            <v>7600116251</v>
          </cell>
          <cell r="C195" t="str">
            <v>CUIDARTE TU SALUD SAS</v>
          </cell>
          <cell r="E195">
            <v>900241765</v>
          </cell>
          <cell r="F195">
            <v>4</v>
          </cell>
          <cell r="G195" t="str">
            <v>CUIDARTE TU SALUD SAS</v>
          </cell>
          <cell r="H195" t="str">
            <v>Privada</v>
          </cell>
        </row>
        <row r="196">
          <cell r="B196">
            <v>7600107134</v>
          </cell>
          <cell r="C196" t="str">
            <v>CUIDARTE EN CASA S.A.S</v>
          </cell>
          <cell r="E196">
            <v>900236008</v>
          </cell>
          <cell r="F196">
            <v>7</v>
          </cell>
          <cell r="G196" t="str">
            <v>Cuidarte en Casa Sas</v>
          </cell>
          <cell r="H196" t="str">
            <v>Privada</v>
          </cell>
        </row>
        <row r="197">
          <cell r="B197">
            <v>7600103643</v>
          </cell>
          <cell r="C197" t="str">
            <v>DAVITA COLOMBIA SAS</v>
          </cell>
          <cell r="E197">
            <v>830007355</v>
          </cell>
          <cell r="F197">
            <v>2</v>
          </cell>
          <cell r="G197" t="str">
            <v>DAVITA COLOMBIA SAS</v>
          </cell>
          <cell r="H197" t="str">
            <v>Privada</v>
          </cell>
        </row>
        <row r="198">
          <cell r="B198">
            <v>7600109018</v>
          </cell>
          <cell r="C198" t="str">
            <v>DAVITA S.A.S.</v>
          </cell>
          <cell r="E198">
            <v>900532504</v>
          </cell>
          <cell r="F198">
            <v>8</v>
          </cell>
          <cell r="G198" t="str">
            <v>DAVITA S.A.S.</v>
          </cell>
          <cell r="H198" t="str">
            <v>Privada</v>
          </cell>
        </row>
        <row r="199">
          <cell r="B199">
            <v>7600104678</v>
          </cell>
          <cell r="C199" t="str">
            <v>Denta sas</v>
          </cell>
          <cell r="E199">
            <v>805008368</v>
          </cell>
          <cell r="F199">
            <v>1</v>
          </cell>
          <cell r="G199" t="str">
            <v>Denta sas</v>
          </cell>
          <cell r="H199" t="str">
            <v>Privada</v>
          </cell>
        </row>
        <row r="200">
          <cell r="B200">
            <v>7600110533</v>
          </cell>
          <cell r="C200" t="str">
            <v>DENTAL BRACKETS CLINICA ODONTOLOGICA SAS</v>
          </cell>
          <cell r="E200">
            <v>900772367</v>
          </cell>
          <cell r="F200">
            <v>4</v>
          </cell>
          <cell r="G200" t="str">
            <v>DENTAL BRACKETS CLINICA ODONTOLOGICA SAS</v>
          </cell>
          <cell r="H200" t="str">
            <v>Privada</v>
          </cell>
        </row>
        <row r="201">
          <cell r="B201">
            <v>7600110113</v>
          </cell>
          <cell r="C201" t="str">
            <v>DENTIX COLOMBIA SAS</v>
          </cell>
          <cell r="E201">
            <v>900759454</v>
          </cell>
          <cell r="F201">
            <v>3</v>
          </cell>
          <cell r="G201" t="str">
            <v>DENTIX COLOMBIA SAS</v>
          </cell>
          <cell r="H201" t="str">
            <v>Privada</v>
          </cell>
        </row>
        <row r="202">
          <cell r="B202">
            <v>7600115556</v>
          </cell>
          <cell r="C202" t="str">
            <v>DEOX SO SAS</v>
          </cell>
          <cell r="E202">
            <v>901382641</v>
          </cell>
          <cell r="F202">
            <v>8</v>
          </cell>
          <cell r="G202" t="str">
            <v>DEOX SO S.A.S.</v>
          </cell>
          <cell r="H202" t="str">
            <v>Privada</v>
          </cell>
        </row>
        <row r="203">
          <cell r="B203">
            <v>7600115944</v>
          </cell>
          <cell r="C203" t="str">
            <v>DERMAESSENCE SAS</v>
          </cell>
          <cell r="E203">
            <v>901443820</v>
          </cell>
          <cell r="F203">
            <v>2</v>
          </cell>
          <cell r="G203" t="str">
            <v>DERMAESSENCE SAS</v>
          </cell>
          <cell r="H203" t="str">
            <v>Privada</v>
          </cell>
        </row>
        <row r="204">
          <cell r="B204">
            <v>7600109543</v>
          </cell>
          <cell r="C204" t="str">
            <v>DERMAVIDA SAS</v>
          </cell>
          <cell r="E204">
            <v>900648836</v>
          </cell>
          <cell r="F204">
            <v>7</v>
          </cell>
          <cell r="G204" t="str">
            <v>DERMAVIDA SAS</v>
          </cell>
          <cell r="H204" t="str">
            <v>Privada</v>
          </cell>
        </row>
        <row r="205">
          <cell r="B205">
            <v>7600109635</v>
          </cell>
          <cell r="C205" t="str">
            <v>DIAGNOSTICO E IMAGENES DEL VALLE IPS S.A.S.</v>
          </cell>
          <cell r="E205">
            <v>900741031</v>
          </cell>
          <cell r="F205">
            <v>2</v>
          </cell>
          <cell r="G205" t="str">
            <v>DIAGNOSTICO E IMAGENES DEL VALLE IPS S.A.S.</v>
          </cell>
          <cell r="H205" t="str">
            <v>Privada</v>
          </cell>
        </row>
        <row r="206">
          <cell r="B206">
            <v>7600106746</v>
          </cell>
          <cell r="C206" t="str">
            <v>DIAGNOSTICO Y REHABILITACION VASCULAR S.A.S - CARDIOMEDICOS S.A.S</v>
          </cell>
          <cell r="E206">
            <v>900177280</v>
          </cell>
          <cell r="F206">
            <v>0</v>
          </cell>
          <cell r="G206" t="str">
            <v>DIAGNOSTICO Y REHABILITACION VASCULAR S.A.S - CARDIOMEDICOS S.A.S</v>
          </cell>
          <cell r="H206" t="str">
            <v>Privada</v>
          </cell>
        </row>
        <row r="207">
          <cell r="B207">
            <v>7600112975</v>
          </cell>
          <cell r="C207" t="str">
            <v>DIAGNOSTICOS DEL VALLE IPS SAS</v>
          </cell>
          <cell r="E207">
            <v>901442229</v>
          </cell>
          <cell r="F207">
            <v>4</v>
          </cell>
          <cell r="G207" t="str">
            <v>DIAGNOSTICOS DEL VALLE IPS SAS</v>
          </cell>
          <cell r="H207" t="str">
            <v>Privada</v>
          </cell>
        </row>
        <row r="208">
          <cell r="B208">
            <v>7600111635</v>
          </cell>
          <cell r="C208" t="str">
            <v>Diagnostika de Occidente Soluciones en Salud S.A.S</v>
          </cell>
          <cell r="E208">
            <v>901139328</v>
          </cell>
          <cell r="F208">
            <v>7</v>
          </cell>
          <cell r="G208" t="str">
            <v>DIAGNOSTIKA DE OCCIDENTE SOLUCIONES EN SALUD SAS</v>
          </cell>
          <cell r="H208" t="str">
            <v>Privada</v>
          </cell>
        </row>
        <row r="209">
          <cell r="B209">
            <v>7600112384</v>
          </cell>
          <cell r="C209" t="str">
            <v>DIANA PULGARIN DENTAL GROUP S.A.S.</v>
          </cell>
          <cell r="E209">
            <v>900921231</v>
          </cell>
          <cell r="F209">
            <v>1</v>
          </cell>
          <cell r="G209" t="str">
            <v>DIANA PULGARIN ODONTOLOGIA ESTETICA SAS</v>
          </cell>
          <cell r="H209" t="str">
            <v>Privada</v>
          </cell>
        </row>
        <row r="210">
          <cell r="B210">
            <v>7600100438</v>
          </cell>
          <cell r="C210" t="str">
            <v>DIME CLINICA NEUROCARDIOVASCULAR S.A</v>
          </cell>
          <cell r="E210">
            <v>800024390</v>
          </cell>
          <cell r="F210">
            <v>3</v>
          </cell>
          <cell r="G210" t="str">
            <v>DIME CLINICA NEUROCARDIOVASCULAR S.A</v>
          </cell>
          <cell r="H210" t="str">
            <v>Privada</v>
          </cell>
        </row>
        <row r="211">
          <cell r="B211">
            <v>7600115583</v>
          </cell>
          <cell r="C211" t="str">
            <v>DISTRIBUCIONES AGAN S.A.S</v>
          </cell>
          <cell r="E211">
            <v>900695674</v>
          </cell>
          <cell r="F211">
            <v>0</v>
          </cell>
          <cell r="G211" t="str">
            <v>DISTRIBUCIONES AGAN S.A.S</v>
          </cell>
          <cell r="H211" t="str">
            <v>Privada</v>
          </cell>
        </row>
        <row r="212">
          <cell r="B212">
            <v>7600111050</v>
          </cell>
          <cell r="C212" t="str">
            <v>Dm Diagnóstico Médico S.A.S.</v>
          </cell>
          <cell r="E212">
            <v>901023754</v>
          </cell>
          <cell r="F212">
            <v>2</v>
          </cell>
          <cell r="G212" t="str">
            <v>Dm Diagnóstico Médico S.A.S.</v>
          </cell>
          <cell r="H212" t="str">
            <v>Privada</v>
          </cell>
        </row>
        <row r="213">
          <cell r="B213">
            <v>7600109990</v>
          </cell>
          <cell r="C213" t="str">
            <v>DR JULIO HOOKER DIGEST CENTER S.A.S</v>
          </cell>
          <cell r="E213">
            <v>900762907</v>
          </cell>
          <cell r="F213">
            <v>9</v>
          </cell>
          <cell r="G213" t="str">
            <v>DR JULIO HOOKER DIGEST CENTER S.A.S</v>
          </cell>
          <cell r="H213" t="str">
            <v>Privada</v>
          </cell>
        </row>
        <row r="214">
          <cell r="B214">
            <v>7600104920</v>
          </cell>
          <cell r="C214" t="str">
            <v>E.S.E. HOSPITAL GERIATRICO ANCIANATO SAN MIGUEL</v>
          </cell>
          <cell r="E214">
            <v>890303448</v>
          </cell>
          <cell r="F214">
            <v>6</v>
          </cell>
          <cell r="G214" t="str">
            <v>E.S.E. HOSPITAL GERIATRICO ANCIANATO SAN MIGUEL</v>
          </cell>
          <cell r="H214" t="str">
            <v>Pública</v>
          </cell>
        </row>
        <row r="215">
          <cell r="B215">
            <v>7600103958</v>
          </cell>
          <cell r="C215" t="str">
            <v>E.S.E. RED DE SALUD DEL CENTRO EMPRESA SOCIAL DEL ESTADO HOSPITAL PRIMITIVO IGLESIAS</v>
          </cell>
          <cell r="E215">
            <v>805027261</v>
          </cell>
          <cell r="F215">
            <v>3</v>
          </cell>
          <cell r="G215" t="str">
            <v>E.S.E. RED DE SALUD DEL CENTRO EMPRESA SOCIAL DEL ESTADO HOSPITAL PRIMITIVO IGLESIAS</v>
          </cell>
          <cell r="H215" t="str">
            <v>Pública</v>
          </cell>
        </row>
        <row r="216">
          <cell r="B216">
            <v>7600110602</v>
          </cell>
          <cell r="C216" t="str">
            <v>ECHEVERRY &amp; CASTRO GRUPO DENTAL S.A.S</v>
          </cell>
          <cell r="E216">
            <v>900960258</v>
          </cell>
          <cell r="F216">
            <v>6</v>
          </cell>
          <cell r="G216" t="str">
            <v>ECHEVERRY &amp; CASTRO GRUPO DENTAL S.A.S</v>
          </cell>
          <cell r="H216" t="str">
            <v>Privada</v>
          </cell>
        </row>
        <row r="217">
          <cell r="B217">
            <v>7600113211</v>
          </cell>
          <cell r="C217" t="str">
            <v>ECOSALUD DIAGNOSTICA S.A.S</v>
          </cell>
          <cell r="E217">
            <v>901513407</v>
          </cell>
          <cell r="F217">
            <v>4</v>
          </cell>
          <cell r="G217" t="str">
            <v>ECOSALUD DIAGNOSTICA S.A.S</v>
          </cell>
          <cell r="H217" t="str">
            <v>Privada</v>
          </cell>
        </row>
        <row r="218">
          <cell r="B218">
            <v>7600107425</v>
          </cell>
          <cell r="C218" t="str">
            <v>EDUARDO BOLAÑOS IPS SAS</v>
          </cell>
          <cell r="E218">
            <v>900279643</v>
          </cell>
          <cell r="F218">
            <v>9</v>
          </cell>
          <cell r="G218" t="str">
            <v>EDUARDO BOLAÑOS IPS SAS</v>
          </cell>
          <cell r="H218" t="str">
            <v>Privada</v>
          </cell>
        </row>
        <row r="219">
          <cell r="B219">
            <v>7600106760</v>
          </cell>
          <cell r="C219" t="str">
            <v>EMERMEDICA S.A. SERVICIOS DE AMBULANCIA PREPAGADOS</v>
          </cell>
          <cell r="E219">
            <v>800126785</v>
          </cell>
          <cell r="F219">
            <v>7</v>
          </cell>
          <cell r="G219" t="str">
            <v>EMERMEDICA S.A. SERVICIOS DE AMBULANCIA PREPAGADOS</v>
          </cell>
          <cell r="H219" t="str">
            <v>Privada</v>
          </cell>
        </row>
        <row r="220">
          <cell r="B220">
            <v>7600107293</v>
          </cell>
          <cell r="C220" t="str">
            <v>EMPRESA DE MEDICINA INTEGRAL EMI S.A.S. SERVICIO DE AMBULANCIA PREPAGADA</v>
          </cell>
          <cell r="E220">
            <v>811007601</v>
          </cell>
          <cell r="F220">
            <v>0</v>
          </cell>
          <cell r="G220" t="str">
            <v>EMPRESA DE MEDICINA INTEGRAL EMI S.A.S. SERVICIO DE AMBULANCIA PREPAGADA</v>
          </cell>
          <cell r="H220" t="str">
            <v>Privada</v>
          </cell>
        </row>
        <row r="221">
          <cell r="B221">
            <v>7600108552</v>
          </cell>
          <cell r="C221" t="str">
            <v>ENDA GROUP SAS</v>
          </cell>
          <cell r="E221">
            <v>900471348</v>
          </cell>
          <cell r="F221">
            <v>2</v>
          </cell>
          <cell r="G221" t="str">
            <v>ENDA GROUP SAS</v>
          </cell>
          <cell r="H221" t="str">
            <v>Privada</v>
          </cell>
        </row>
        <row r="222">
          <cell r="B222">
            <v>7600103381</v>
          </cell>
          <cell r="C222" t="str">
            <v>ENDOCIRUJANOS SAS</v>
          </cell>
          <cell r="E222">
            <v>805019877</v>
          </cell>
          <cell r="F222">
            <v>6</v>
          </cell>
          <cell r="G222" t="str">
            <v>ENDOCIRUJANOS SAS</v>
          </cell>
          <cell r="H222" t="str">
            <v>Privada</v>
          </cell>
        </row>
        <row r="223">
          <cell r="B223">
            <v>7600107184</v>
          </cell>
          <cell r="C223" t="str">
            <v>ENDOSALUD DE OCCIDENTE S.A.</v>
          </cell>
          <cell r="E223">
            <v>900248093</v>
          </cell>
          <cell r="F223">
            <v>5</v>
          </cell>
          <cell r="G223" t="str">
            <v>ENDOSALUD DE OCCIDENTE S.A.</v>
          </cell>
          <cell r="H223" t="str">
            <v>Privada</v>
          </cell>
        </row>
        <row r="224">
          <cell r="B224">
            <v>7600115734</v>
          </cell>
          <cell r="C224" t="str">
            <v>EQUIPO OCUPACIONAL MJM SAS</v>
          </cell>
          <cell r="E224">
            <v>901756260</v>
          </cell>
          <cell r="F224">
            <v>1</v>
          </cell>
          <cell r="G224" t="str">
            <v>EQUIPO OCUPACIONAL MJM SAS</v>
          </cell>
          <cell r="H224" t="str">
            <v>Privada</v>
          </cell>
        </row>
        <row r="225">
          <cell r="B225">
            <v>7600101848</v>
          </cell>
          <cell r="C225" t="str">
            <v>ESCANOGRAFIA SAN JOSE GRUPO ESCANOGRAFICO DEL SUR</v>
          </cell>
          <cell r="E225">
            <v>800148835</v>
          </cell>
          <cell r="F225">
            <v>1</v>
          </cell>
          <cell r="G225" t="str">
            <v>ESCANOGRAFIA SAN JOSE GRUPO ESCANOGRAFICO DEL SUR</v>
          </cell>
          <cell r="H225" t="str">
            <v>Privada</v>
          </cell>
        </row>
        <row r="226">
          <cell r="B226">
            <v>7600108600</v>
          </cell>
          <cell r="C226" t="str">
            <v>ESTETICA Y TERAPIAS TEQUENDAMA S.A.S</v>
          </cell>
          <cell r="E226">
            <v>900506087</v>
          </cell>
          <cell r="F226">
            <v>8</v>
          </cell>
          <cell r="G226" t="str">
            <v>ESTETICA Y TERAPIAS TEQUENDAMA S.A.S</v>
          </cell>
          <cell r="H226" t="str">
            <v>Privada</v>
          </cell>
        </row>
        <row r="227">
          <cell r="B227">
            <v>7600111614</v>
          </cell>
          <cell r="C227" t="str">
            <v>ESTUDIO RX SAS</v>
          </cell>
          <cell r="E227">
            <v>900991778</v>
          </cell>
          <cell r="F227">
            <v>7</v>
          </cell>
          <cell r="G227" t="str">
            <v>Estudio RX S.A.S.</v>
          </cell>
          <cell r="H227" t="str">
            <v>Privada</v>
          </cell>
        </row>
        <row r="228">
          <cell r="B228">
            <v>7600105461</v>
          </cell>
          <cell r="C228" t="str">
            <v>EUROESTETICA S.A.S</v>
          </cell>
          <cell r="E228">
            <v>805020770</v>
          </cell>
          <cell r="F228">
            <v>9</v>
          </cell>
          <cell r="G228" t="str">
            <v>EUROESTETICA S.A.S</v>
          </cell>
          <cell r="H228" t="str">
            <v>Privada</v>
          </cell>
        </row>
        <row r="229">
          <cell r="B229">
            <v>7600108077</v>
          </cell>
          <cell r="C229" t="str">
            <v>FABILU S.A.S</v>
          </cell>
          <cell r="E229">
            <v>900242742</v>
          </cell>
          <cell r="F229">
            <v>1</v>
          </cell>
          <cell r="G229" t="str">
            <v>FABILU S.A.S</v>
          </cell>
          <cell r="H229" t="str">
            <v>Privada</v>
          </cell>
        </row>
        <row r="230">
          <cell r="B230">
            <v>7600110743</v>
          </cell>
          <cell r="C230" t="str">
            <v>FABISALUD IPS SAS</v>
          </cell>
          <cell r="E230">
            <v>900951033</v>
          </cell>
          <cell r="F230">
            <v>8</v>
          </cell>
          <cell r="G230" t="str">
            <v>FABISALUD IPS SAS</v>
          </cell>
          <cell r="H230" t="str">
            <v>Privada</v>
          </cell>
        </row>
        <row r="231">
          <cell r="B231">
            <v>7600108738</v>
          </cell>
          <cell r="C231" t="str">
            <v>FARMART LTDA. IPS</v>
          </cell>
          <cell r="E231">
            <v>900432887</v>
          </cell>
          <cell r="F231">
            <v>4</v>
          </cell>
          <cell r="G231" t="str">
            <v>FARMART LTDA. IPS</v>
          </cell>
          <cell r="H231" t="str">
            <v>Privada</v>
          </cell>
        </row>
        <row r="232">
          <cell r="B232">
            <v>7600108061</v>
          </cell>
          <cell r="C232" t="str">
            <v>FENIX VIDA S.A.S.</v>
          </cell>
          <cell r="E232">
            <v>900397634</v>
          </cell>
          <cell r="F232">
            <v>8</v>
          </cell>
          <cell r="G232" t="str">
            <v>FENIX VIDA S.A.S.</v>
          </cell>
          <cell r="H232" t="str">
            <v>Privada</v>
          </cell>
        </row>
        <row r="233">
          <cell r="B233">
            <v>7600115571</v>
          </cell>
          <cell r="C233" t="str">
            <v>Fisika Rehabilitación Integral Sas</v>
          </cell>
          <cell r="E233">
            <v>901620944</v>
          </cell>
          <cell r="F233">
            <v>6</v>
          </cell>
          <cell r="G233" t="str">
            <v>Fisika Rehabilitación Integral Sas</v>
          </cell>
          <cell r="H233" t="str">
            <v>Privada</v>
          </cell>
        </row>
        <row r="234">
          <cell r="B234">
            <v>7600115509</v>
          </cell>
          <cell r="C234" t="str">
            <v>FISIODONT S.A.S</v>
          </cell>
          <cell r="E234">
            <v>901645109</v>
          </cell>
          <cell r="F234">
            <v>0</v>
          </cell>
          <cell r="G234" t="str">
            <v>FISIODONT S.A.S</v>
          </cell>
          <cell r="H234" t="str">
            <v>Privada</v>
          </cell>
        </row>
        <row r="235">
          <cell r="B235">
            <v>7600105039</v>
          </cell>
          <cell r="C235" t="str">
            <v>FISIOPELVICA</v>
          </cell>
          <cell r="E235">
            <v>805010810</v>
          </cell>
          <cell r="F235">
            <v>2</v>
          </cell>
          <cell r="G235" t="str">
            <v>FISIOPELVICA</v>
          </cell>
          <cell r="H235" t="str">
            <v>Privada</v>
          </cell>
        </row>
        <row r="236">
          <cell r="B236">
            <v>7600106752</v>
          </cell>
          <cell r="C236" t="str">
            <v>FISIOSALUD TERAPIAS INTEGRADAS S.A.S</v>
          </cell>
          <cell r="E236">
            <v>900163796</v>
          </cell>
          <cell r="F236">
            <v>8</v>
          </cell>
          <cell r="G236" t="str">
            <v>FISIOSALUD TERAPIAS INTEGRADAS S.A.S</v>
          </cell>
          <cell r="H236" t="str">
            <v>Privada</v>
          </cell>
        </row>
        <row r="237">
          <cell r="B237">
            <v>7600109899</v>
          </cell>
          <cell r="C237" t="str">
            <v>FISIOSPORTS CENTRO ESPECIALIZADO EN FISIOTERAPIA DEPORTIVA</v>
          </cell>
          <cell r="E237">
            <v>900796570</v>
          </cell>
          <cell r="F237">
            <v>7</v>
          </cell>
          <cell r="G237" t="str">
            <v>FISIOSPORTS CENTRO ESPECIALIZADO EN FISIOTERAPIA DEPORTIVA</v>
          </cell>
          <cell r="H237" t="str">
            <v>Privada</v>
          </cell>
        </row>
        <row r="238">
          <cell r="B238">
            <v>7600106927</v>
          </cell>
          <cell r="C238" t="str">
            <v>FISIOTERAPIA - CENTRO ESPECIALIZADO E.U.</v>
          </cell>
          <cell r="E238">
            <v>900115401</v>
          </cell>
          <cell r="F238">
            <v>1</v>
          </cell>
          <cell r="G238" t="str">
            <v>FISIOTERAPIA - CENTRO ESPECIALIZADO E.U.</v>
          </cell>
          <cell r="H238" t="str">
            <v>Privada</v>
          </cell>
        </row>
        <row r="239">
          <cell r="B239">
            <v>7600109698</v>
          </cell>
          <cell r="C239" t="str">
            <v>FLXSPORT FISIOTERAPIA DEPORTIVA E.U</v>
          </cell>
          <cell r="E239">
            <v>900761713</v>
          </cell>
          <cell r="F239">
            <v>2</v>
          </cell>
          <cell r="G239" t="str">
            <v>FLXSPORT FISIOTERAPIA DEPORTIVA E.U</v>
          </cell>
          <cell r="H239" t="str">
            <v>Privada</v>
          </cell>
        </row>
        <row r="240">
          <cell r="B240">
            <v>7600101073</v>
          </cell>
          <cell r="C240" t="str">
            <v>FRACTURAS DEL OESTE SAS</v>
          </cell>
          <cell r="E240">
            <v>805009731</v>
          </cell>
          <cell r="F240">
            <v>7</v>
          </cell>
          <cell r="G240" t="str">
            <v>FRACTURAS DEL OESTE SAS</v>
          </cell>
          <cell r="H240" t="str">
            <v>Privada</v>
          </cell>
        </row>
        <row r="241">
          <cell r="B241">
            <v>7600115215</v>
          </cell>
          <cell r="C241" t="str">
            <v>FUN BIENESTAR INTEGRAL</v>
          </cell>
          <cell r="E241">
            <v>901319922</v>
          </cell>
          <cell r="F241">
            <v>5</v>
          </cell>
          <cell r="G241" t="str">
            <v>FUN BIENESTAR INTEGRAL</v>
          </cell>
          <cell r="H241" t="str">
            <v>Privada</v>
          </cell>
        </row>
        <row r="242">
          <cell r="B242">
            <v>7600107275</v>
          </cell>
          <cell r="C242" t="str">
            <v>FUNDACION CENTRO TERAPEUTICO IMPRONTA IPS</v>
          </cell>
          <cell r="E242">
            <v>900076101</v>
          </cell>
          <cell r="F242">
            <v>7</v>
          </cell>
          <cell r="G242" t="str">
            <v>FUNDACION CENTRO TERAPEUTICO IMPRONTA IPS</v>
          </cell>
          <cell r="H242" t="str">
            <v>Privada</v>
          </cell>
        </row>
        <row r="243">
          <cell r="B243">
            <v>7600107653</v>
          </cell>
          <cell r="C243" t="str">
            <v>FUNDACION CENTRO VASCULAR DE OCCIDENTE</v>
          </cell>
          <cell r="E243">
            <v>900248010</v>
          </cell>
          <cell r="F243">
            <v>4</v>
          </cell>
          <cell r="G243" t="str">
            <v>FUNDACION CENTRO VASCULAR DE OCCIDENTE</v>
          </cell>
          <cell r="H243" t="str">
            <v>Privada</v>
          </cell>
        </row>
        <row r="244">
          <cell r="B244">
            <v>7600102541</v>
          </cell>
          <cell r="C244" t="str">
            <v>FUNDACION CLINICA INFANTIL CLUB NOEL</v>
          </cell>
          <cell r="E244">
            <v>890399020</v>
          </cell>
          <cell r="F244">
            <v>1</v>
          </cell>
          <cell r="G244" t="str">
            <v>FUNDACION CLINICA INFANTIL CLUB NOEL</v>
          </cell>
          <cell r="H244" t="str">
            <v>Privada</v>
          </cell>
        </row>
        <row r="245">
          <cell r="B245">
            <v>7600112414</v>
          </cell>
          <cell r="C245" t="str">
            <v>FUNDACION CLINICA NELSON MANDELA</v>
          </cell>
          <cell r="E245">
            <v>901117558</v>
          </cell>
          <cell r="F245">
            <v>1</v>
          </cell>
          <cell r="G245" t="str">
            <v>FUNDACION CLINICA NELSON MANDELA</v>
          </cell>
          <cell r="H245" t="str">
            <v>Privada</v>
          </cell>
        </row>
        <row r="246">
          <cell r="B246">
            <v>7600105352</v>
          </cell>
          <cell r="C246" t="str">
            <v>Fundacion de Especialistas del Edificio Coomeva Norte IPS</v>
          </cell>
          <cell r="E246">
            <v>805030585</v>
          </cell>
          <cell r="F246">
            <v>5</v>
          </cell>
          <cell r="G246" t="str">
            <v>Fundacion de Especialistas del Edificio Coomeva Norte IPS</v>
          </cell>
          <cell r="H246" t="str">
            <v>Privada</v>
          </cell>
        </row>
        <row r="247">
          <cell r="B247">
            <v>7600100033</v>
          </cell>
          <cell r="C247" t="str">
            <v>FUNDACION HOSPITALITO INFANTIL NIÑO DIOS</v>
          </cell>
          <cell r="E247">
            <v>805001267</v>
          </cell>
          <cell r="F247">
            <v>4</v>
          </cell>
          <cell r="G247" t="str">
            <v>FUNDACION HOSPITALITO INFANTIL NIÑO DIOS</v>
          </cell>
          <cell r="H247" t="str">
            <v>Privada</v>
          </cell>
        </row>
        <row r="248">
          <cell r="B248">
            <v>7600108032</v>
          </cell>
          <cell r="C248" t="str">
            <v>FUNDACION ICOMSALUD IPS</v>
          </cell>
          <cell r="E248">
            <v>900324452</v>
          </cell>
          <cell r="F248">
            <v>1</v>
          </cell>
          <cell r="G248" t="str">
            <v>FUNDACION ICOMSALUD IPS</v>
          </cell>
          <cell r="H248" t="str">
            <v>Privada</v>
          </cell>
        </row>
        <row r="249">
          <cell r="B249">
            <v>7600100915</v>
          </cell>
          <cell r="C249" t="str">
            <v>FUNDACION IDEAL PARA LA REHABILITACION INTEGRAL "JULIO H CALONJE"</v>
          </cell>
          <cell r="E249">
            <v>890308493</v>
          </cell>
          <cell r="F249">
            <v>0</v>
          </cell>
          <cell r="G249" t="str">
            <v>FUNDACION IDEAL PARA LA REHABILITACION INTEGRAL "JULIO H CALONJE"</v>
          </cell>
          <cell r="H249" t="str">
            <v>Privada</v>
          </cell>
        </row>
        <row r="250">
          <cell r="B250">
            <v>7600112620</v>
          </cell>
          <cell r="C250" t="str">
            <v>FUNDACIÓN INNOVAGEN</v>
          </cell>
          <cell r="E250">
            <v>900493572</v>
          </cell>
          <cell r="F250">
            <v>0</v>
          </cell>
          <cell r="G250" t="str">
            <v>Fundación InnovaGen</v>
          </cell>
          <cell r="H250" t="str">
            <v>Privada</v>
          </cell>
        </row>
        <row r="251">
          <cell r="B251">
            <v>7600112932</v>
          </cell>
          <cell r="C251" t="str">
            <v>Fundación Javeriana de Servicios Medico Odontologicos Interuniversitarios Carlos Marquez Villegas-Javesalud</v>
          </cell>
          <cell r="E251">
            <v>830018305</v>
          </cell>
          <cell r="F251">
            <v>1</v>
          </cell>
          <cell r="G251" t="str">
            <v>Fundación Javeriana de Servicios Medico Odontologicos Interuniversitarios Carlos Marquez Villegas-Javesalud</v>
          </cell>
          <cell r="H251" t="str">
            <v>Privada</v>
          </cell>
        </row>
        <row r="252">
          <cell r="B252">
            <v>7600102480</v>
          </cell>
          <cell r="C252" t="str">
            <v>FUNDACION LIGA COLOMBIANA CONTRA LA EPILEPSIA CAPITULO VALLE HELENA NADER DE ZACCOUR (LICCE)</v>
          </cell>
          <cell r="E252">
            <v>890319230</v>
          </cell>
          <cell r="F252">
            <v>8</v>
          </cell>
          <cell r="G252" t="str">
            <v>FUNDACION LIGA COLOMBIANA CONTRA LA EPILEPSIA CAPITULO VALLE HELENA NADER DE ZACCOUR (LICCE)</v>
          </cell>
          <cell r="H252" t="str">
            <v>Privada</v>
          </cell>
        </row>
        <row r="253">
          <cell r="B253">
            <v>7600115947</v>
          </cell>
          <cell r="C253" t="str">
            <v>FUNDACIÓN LIVING HOPE</v>
          </cell>
          <cell r="E253">
            <v>901162116</v>
          </cell>
          <cell r="F253">
            <v>9</v>
          </cell>
          <cell r="G253" t="str">
            <v>FUNDACIÓN LIVING HOPE</v>
          </cell>
          <cell r="H253" t="str">
            <v>Privada</v>
          </cell>
        </row>
        <row r="254">
          <cell r="B254">
            <v>7600106635</v>
          </cell>
          <cell r="C254" t="str">
            <v>Fundación para el Servicio Integral de Atención Médica - Fundación SIAM</v>
          </cell>
          <cell r="E254">
            <v>900034438</v>
          </cell>
          <cell r="F254">
            <v>3</v>
          </cell>
          <cell r="G254" t="str">
            <v>Fundación para el Servicio Integral de Atención Médica - Fundación SIAM</v>
          </cell>
          <cell r="H254" t="str">
            <v>Privada</v>
          </cell>
        </row>
        <row r="255">
          <cell r="B255">
            <v>7600108614</v>
          </cell>
          <cell r="C255" t="str">
            <v>FUNDACION PARA LA PROMOCION DE LA SALUD Y PREVENCION DE LA ENFERMEDAD RENAL "PREVRENAL"</v>
          </cell>
          <cell r="E255">
            <v>805031507</v>
          </cell>
          <cell r="F255">
            <v>5</v>
          </cell>
          <cell r="G255" t="str">
            <v>FUNDACION PARA LA PROMOCION DE LA SALUD Y PREVENCION DE LA ENFERMEDAD RENAL</v>
          </cell>
          <cell r="H255" t="str">
            <v>Privada</v>
          </cell>
        </row>
        <row r="256">
          <cell r="B256">
            <v>7600105479</v>
          </cell>
          <cell r="C256" t="str">
            <v>FUNDACION PARKINSON DE COLOMBIA</v>
          </cell>
          <cell r="E256">
            <v>805030698</v>
          </cell>
          <cell r="F256">
            <v>9</v>
          </cell>
          <cell r="G256" t="str">
            <v>FUNDACION PARKINSON DE COLOMBIA</v>
          </cell>
          <cell r="H256" t="str">
            <v>Privada</v>
          </cell>
        </row>
        <row r="257">
          <cell r="B257">
            <v>7600109782</v>
          </cell>
          <cell r="C257" t="str">
            <v>fundacion pilsen wellness center</v>
          </cell>
          <cell r="E257">
            <v>900718959</v>
          </cell>
          <cell r="F257">
            <v>5</v>
          </cell>
          <cell r="G257" t="str">
            <v>fundacion pilsen wellness center</v>
          </cell>
          <cell r="H257" t="str">
            <v>Privada</v>
          </cell>
        </row>
        <row r="258">
          <cell r="B258">
            <v>7600107942</v>
          </cell>
          <cell r="C258" t="str">
            <v>FUNDACION REINA ISABEL</v>
          </cell>
          <cell r="E258">
            <v>900373079</v>
          </cell>
          <cell r="F258">
            <v>6</v>
          </cell>
          <cell r="G258" t="str">
            <v>FUNDACION REINA ISABEL</v>
          </cell>
          <cell r="H258" t="str">
            <v>Privada</v>
          </cell>
        </row>
        <row r="259">
          <cell r="B259">
            <v>7600103373</v>
          </cell>
          <cell r="C259" t="str">
            <v>FUNDACION SERVICIOS INTEGRALES PARA LA MUJER SI MUJER</v>
          </cell>
          <cell r="E259">
            <v>890325039</v>
          </cell>
          <cell r="F259">
            <v>1</v>
          </cell>
          <cell r="G259" t="str">
            <v>FUNDACION SERVICIOS INTEGRALES PARA LA MUJER SI MUJER</v>
          </cell>
          <cell r="H259" t="str">
            <v>Privada</v>
          </cell>
        </row>
        <row r="260">
          <cell r="B260">
            <v>7600100678</v>
          </cell>
          <cell r="C260" t="str">
            <v>FUNDACIÓN UNIÓN PARA EL CONTROL DEL CÁNCER - UNICÁNCER</v>
          </cell>
          <cell r="E260">
            <v>805007737</v>
          </cell>
          <cell r="F260">
            <v>1</v>
          </cell>
          <cell r="G260" t="str">
            <v>FUNDACIÓN UNIÓN PARA EL CONTROL DEL CÁNCER - UNICÁNCER</v>
          </cell>
          <cell r="H260" t="str">
            <v>Privada</v>
          </cell>
        </row>
        <row r="261">
          <cell r="B261">
            <v>7600102870</v>
          </cell>
          <cell r="C261" t="str">
            <v>FUNDACION VALLE DEL LILI</v>
          </cell>
          <cell r="E261">
            <v>890324177</v>
          </cell>
          <cell r="F261">
            <v>5</v>
          </cell>
          <cell r="G261" t="str">
            <v>FUNDACION VALLE DEL LILI</v>
          </cell>
          <cell r="H261" t="str">
            <v>Privada</v>
          </cell>
        </row>
        <row r="262">
          <cell r="B262">
            <v>7600107874</v>
          </cell>
          <cell r="C262" t="str">
            <v>FUNDACION VIVE LA VIDA</v>
          </cell>
          <cell r="E262">
            <v>815003320</v>
          </cell>
          <cell r="F262">
            <v>2</v>
          </cell>
          <cell r="G262" t="str">
            <v>FUNDACION VIVE LA VIDA</v>
          </cell>
          <cell r="H262" t="str">
            <v>Privada</v>
          </cell>
        </row>
        <row r="263">
          <cell r="B263">
            <v>7600102239</v>
          </cell>
          <cell r="C263" t="str">
            <v>FUNDALIVIO S.A.S</v>
          </cell>
          <cell r="E263">
            <v>805019927</v>
          </cell>
          <cell r="F263">
            <v>6</v>
          </cell>
          <cell r="G263" t="str">
            <v>FUNDALIVIO S.A.S</v>
          </cell>
          <cell r="H263" t="str">
            <v>Privada</v>
          </cell>
        </row>
        <row r="264">
          <cell r="B264">
            <v>7600113101</v>
          </cell>
          <cell r="C264" t="str">
            <v>GAES COLOMBIA SAS</v>
          </cell>
          <cell r="E264">
            <v>900913310</v>
          </cell>
          <cell r="F264">
            <v>1</v>
          </cell>
          <cell r="G264" t="str">
            <v>GAES COLOMBIA SAS</v>
          </cell>
          <cell r="H264" t="str">
            <v>Privada</v>
          </cell>
        </row>
        <row r="265">
          <cell r="B265">
            <v>7600100354</v>
          </cell>
          <cell r="C265" t="str">
            <v>GAMANUCLEAR LTDA</v>
          </cell>
          <cell r="E265">
            <v>805017681</v>
          </cell>
          <cell r="F265">
            <v>0</v>
          </cell>
          <cell r="G265" t="str">
            <v>GAMANUCLEAR LTDA</v>
          </cell>
          <cell r="H265" t="str">
            <v>Privada</v>
          </cell>
        </row>
        <row r="266">
          <cell r="B266">
            <v>7600100880</v>
          </cell>
          <cell r="C266" t="str">
            <v>GAR S.A.S.</v>
          </cell>
          <cell r="E266">
            <v>805001115</v>
          </cell>
          <cell r="F266">
            <v>3</v>
          </cell>
          <cell r="G266" t="str">
            <v>GAR S.A.S.</v>
          </cell>
          <cell r="H266" t="str">
            <v>Privada</v>
          </cell>
        </row>
        <row r="267">
          <cell r="B267">
            <v>7600101801</v>
          </cell>
          <cell r="C267" t="str">
            <v>GASTROENTEROLOGOS ASOCIADOS S.A.S.</v>
          </cell>
          <cell r="E267">
            <v>805025043</v>
          </cell>
          <cell r="F267">
            <v>5</v>
          </cell>
          <cell r="G267" t="str">
            <v>GASTROENTEROLOGOS ASOCIADOS S.A.S.</v>
          </cell>
          <cell r="H267" t="str">
            <v>Privada</v>
          </cell>
        </row>
        <row r="268">
          <cell r="B268">
            <v>7600115394</v>
          </cell>
          <cell r="C268" t="str">
            <v>GENCELL PHARMA CALI</v>
          </cell>
          <cell r="E268">
            <v>900407111</v>
          </cell>
          <cell r="F268">
            <v>2</v>
          </cell>
          <cell r="G268" t="str">
            <v>GENCELL PHARMA S.A.S</v>
          </cell>
          <cell r="H268" t="str">
            <v>Privada</v>
          </cell>
        </row>
        <row r="269">
          <cell r="B269">
            <v>7600105793</v>
          </cell>
          <cell r="C269" t="str">
            <v>GENOMICS S.A.S.</v>
          </cell>
          <cell r="E269">
            <v>900023605</v>
          </cell>
          <cell r="F269">
            <v>1</v>
          </cell>
          <cell r="G269" t="str">
            <v>GENOMICS S.A.S.</v>
          </cell>
          <cell r="H269" t="str">
            <v>Privada</v>
          </cell>
        </row>
        <row r="270">
          <cell r="B270">
            <v>7600116046</v>
          </cell>
          <cell r="C270" t="str">
            <v>GESTIÓN DE PROYECTOS Y ADMINISTRACIÓN DE SERVICIOS EN IMÁGENES RADIOLÓGICAS Y MEDICINA NUCLEAR S.A.S</v>
          </cell>
          <cell r="E270">
            <v>901785578</v>
          </cell>
          <cell r="F270">
            <v>1</v>
          </cell>
          <cell r="G270" t="str">
            <v>GESTIÓN DE PROYECTOS Y ADMINISTRACIÓN DE SERVICIOS EN IMÁGENES RADIOLÓGICAS Y MEDICINA NUCLEAR S.A.S</v>
          </cell>
          <cell r="H270" t="str">
            <v>Privada</v>
          </cell>
        </row>
        <row r="271">
          <cell r="B271">
            <v>7600112402</v>
          </cell>
          <cell r="C271" t="str">
            <v>GESTION INTEGRAL DE RIESGO Y SALUD OCUPACIONAL SAS</v>
          </cell>
          <cell r="E271">
            <v>900584243</v>
          </cell>
          <cell r="F271">
            <v>3</v>
          </cell>
          <cell r="G271" t="str">
            <v>GESTION INTEGRAL DE RIESGO Y SALUD OCUPACIONAL SAS</v>
          </cell>
          <cell r="H271" t="str">
            <v>Privada</v>
          </cell>
        </row>
        <row r="272">
          <cell r="B272">
            <v>7600110873</v>
          </cell>
          <cell r="C272" t="str">
            <v>GESTION MEDICA EN SALUD SAS</v>
          </cell>
          <cell r="E272">
            <v>900435790</v>
          </cell>
          <cell r="F272">
            <v>2</v>
          </cell>
          <cell r="G272" t="str">
            <v>GESTION MEDICA EN SALUD S.A.S</v>
          </cell>
          <cell r="H272" t="str">
            <v>Privada</v>
          </cell>
        </row>
        <row r="273">
          <cell r="B273">
            <v>7600116209</v>
          </cell>
          <cell r="C273" t="str">
            <v>GESTION SALUD DEL SINU IPS S.A.S</v>
          </cell>
          <cell r="E273">
            <v>900948353</v>
          </cell>
          <cell r="F273">
            <v>9</v>
          </cell>
          <cell r="G273" t="str">
            <v>Gestion Salud Del Sinú IPS S.A.S</v>
          </cell>
          <cell r="H273" t="str">
            <v>Privada</v>
          </cell>
        </row>
        <row r="274">
          <cell r="B274">
            <v>7600107804</v>
          </cell>
          <cell r="C274" t="str">
            <v>GRUPO DE ESTETICA DENTAL DEL VALLE S.A.S</v>
          </cell>
          <cell r="E274">
            <v>900350240</v>
          </cell>
          <cell r="F274">
            <v>7</v>
          </cell>
          <cell r="G274" t="str">
            <v>GRUPO DE ESTETICA DENTAL DEL VALLE S.A.S</v>
          </cell>
          <cell r="H274" t="str">
            <v>Privada</v>
          </cell>
        </row>
        <row r="275">
          <cell r="B275">
            <v>7600108372</v>
          </cell>
          <cell r="C275" t="str">
            <v>GRUPO EMPRESARIAL ORANGE SAS</v>
          </cell>
          <cell r="E275">
            <v>900459820</v>
          </cell>
          <cell r="F275">
            <v>9</v>
          </cell>
          <cell r="G275" t="str">
            <v>GRUPO EMPRESARIAL ORANGE SAS</v>
          </cell>
          <cell r="H275" t="str">
            <v>Privada</v>
          </cell>
        </row>
        <row r="276">
          <cell r="B276">
            <v>7600115973</v>
          </cell>
          <cell r="C276" t="str">
            <v>GRUPO INTEGRAL DE SERVICIO OCUPACIONAL S.A.S</v>
          </cell>
          <cell r="E276">
            <v>901752546</v>
          </cell>
          <cell r="F276">
            <v>4</v>
          </cell>
          <cell r="G276" t="str">
            <v>GRUPO INTEGRAL DE SERVICIO OCUPACIONAL S.A.S</v>
          </cell>
          <cell r="H276" t="str">
            <v>Privada</v>
          </cell>
        </row>
        <row r="277">
          <cell r="B277">
            <v>7600100309</v>
          </cell>
          <cell r="C277" t="str">
            <v>GRUPO MEDICO ESPECIALIZADO AIREC S.A.S.</v>
          </cell>
          <cell r="E277">
            <v>800075729</v>
          </cell>
          <cell r="F277">
            <v>4</v>
          </cell>
          <cell r="G277" t="str">
            <v>GRUPO MEDICO ESPECIALIZADO AIREC S.A.S.</v>
          </cell>
          <cell r="H277" t="str">
            <v>Privada</v>
          </cell>
        </row>
        <row r="278">
          <cell r="B278">
            <v>7600111026</v>
          </cell>
          <cell r="C278" t="str">
            <v>Grupo medico especializado hipnos vida SAS</v>
          </cell>
          <cell r="E278">
            <v>900977400</v>
          </cell>
          <cell r="F278">
            <v>0</v>
          </cell>
          <cell r="G278" t="str">
            <v>GRUPO MEDICO ESPECIALIZADO HIPNOS VIDA S.A.S.</v>
          </cell>
          <cell r="H278" t="str">
            <v>Privada</v>
          </cell>
        </row>
        <row r="279">
          <cell r="B279">
            <v>7600106446</v>
          </cell>
          <cell r="C279" t="str">
            <v>GRUPO MEDICO EXCELLENCE S.A</v>
          </cell>
          <cell r="E279">
            <v>900126941</v>
          </cell>
          <cell r="F279">
            <v>2</v>
          </cell>
          <cell r="G279" t="str">
            <v>GRUPO MEDICO EXCELLENCE S.A</v>
          </cell>
          <cell r="H279" t="str">
            <v>Privada</v>
          </cell>
        </row>
        <row r="280">
          <cell r="B280">
            <v>7600111530</v>
          </cell>
          <cell r="C280" t="str">
            <v>GRUPO MEDICO LABORAL GML IPS S.A.S.</v>
          </cell>
          <cell r="E280">
            <v>900773537</v>
          </cell>
          <cell r="F280">
            <v>4</v>
          </cell>
          <cell r="G280" t="str">
            <v>GRUPO MEDICO LABORAL GML IPS S.A.S</v>
          </cell>
          <cell r="H280" t="str">
            <v>Privada</v>
          </cell>
        </row>
        <row r="281">
          <cell r="B281">
            <v>7600113167</v>
          </cell>
          <cell r="C281" t="str">
            <v>GRUPO MEDICO OCUPACIONAL SST COLOMBIA S.A.S.</v>
          </cell>
          <cell r="E281">
            <v>901687281</v>
          </cell>
          <cell r="F281">
            <v>1</v>
          </cell>
          <cell r="G281" t="str">
            <v>GRUPO MEDICO OCUPACIONAL SST COLOMBIA S.A.S.</v>
          </cell>
          <cell r="H281" t="str">
            <v>Privada</v>
          </cell>
        </row>
        <row r="282">
          <cell r="B282">
            <v>7600110040</v>
          </cell>
          <cell r="C282" t="str">
            <v>Grupo Mentesana S.A.S</v>
          </cell>
          <cell r="E282">
            <v>900706814</v>
          </cell>
          <cell r="F282">
            <v>4</v>
          </cell>
          <cell r="G282" t="str">
            <v>Grupo Mentesana S.A.S</v>
          </cell>
          <cell r="H282" t="str">
            <v>Privada</v>
          </cell>
        </row>
        <row r="283">
          <cell r="B283">
            <v>7600108925</v>
          </cell>
          <cell r="C283" t="str">
            <v>GRUPO MONTAÑO VALENCIA SAS</v>
          </cell>
          <cell r="E283">
            <v>900564789</v>
          </cell>
          <cell r="F283">
            <v>7</v>
          </cell>
          <cell r="G283" t="str">
            <v>GRUPO MONTAÑO VALENCIA SAS</v>
          </cell>
          <cell r="H283" t="str">
            <v>Privada</v>
          </cell>
        </row>
        <row r="284">
          <cell r="B284">
            <v>7600108281</v>
          </cell>
          <cell r="C284" t="str">
            <v>GRUPO ODONTOLOGICAS SAS</v>
          </cell>
          <cell r="E284">
            <v>900334325</v>
          </cell>
          <cell r="F284">
            <v>7</v>
          </cell>
          <cell r="G284" t="str">
            <v>GRUPO ODONTOLOGICAS SAS</v>
          </cell>
          <cell r="H284" t="str">
            <v>Privada</v>
          </cell>
        </row>
        <row r="285">
          <cell r="B285">
            <v>7600110508</v>
          </cell>
          <cell r="C285" t="str">
            <v>GRUPO ORAL HOME S.A.</v>
          </cell>
          <cell r="E285">
            <v>900219487</v>
          </cell>
          <cell r="F285">
            <v>1</v>
          </cell>
          <cell r="G285" t="str">
            <v>GRUPO ORAL HOME S.A.</v>
          </cell>
          <cell r="H285" t="str">
            <v>Privada</v>
          </cell>
        </row>
        <row r="286">
          <cell r="B286">
            <v>7600115855</v>
          </cell>
          <cell r="C286" t="str">
            <v>GUTIÉRREZ RENDÓN S.A.S.</v>
          </cell>
          <cell r="E286">
            <v>901727360</v>
          </cell>
          <cell r="F286">
            <v>6</v>
          </cell>
          <cell r="G286" t="str">
            <v>GUTIÉRREZ RENDÓN S.A.S.</v>
          </cell>
          <cell r="H286" t="str">
            <v>Privada</v>
          </cell>
        </row>
        <row r="287">
          <cell r="B287">
            <v>7600115402</v>
          </cell>
          <cell r="C287" t="str">
            <v>GV MEDICAL MEDICINA LABORAL E NTEGRATIVA S.A.S</v>
          </cell>
          <cell r="E287">
            <v>901621255</v>
          </cell>
          <cell r="F287">
            <v>4</v>
          </cell>
          <cell r="G287" t="str">
            <v>GV MEDICAL MEDICINA LABORAL E NTEGRATIVA S.A.S</v>
          </cell>
          <cell r="H287" t="str">
            <v>Privada</v>
          </cell>
        </row>
        <row r="288">
          <cell r="B288">
            <v>7600110071</v>
          </cell>
          <cell r="C288" t="str">
            <v>HAPPY CLINICAS ODONTOLOGICAS S.A.S</v>
          </cell>
          <cell r="E288">
            <v>900549044</v>
          </cell>
          <cell r="F288">
            <v>6</v>
          </cell>
          <cell r="G288" t="str">
            <v>HAPPY CLINICAS ODONTOLOGICAS S.A.S</v>
          </cell>
          <cell r="H288" t="str">
            <v>Privada</v>
          </cell>
        </row>
        <row r="289">
          <cell r="B289">
            <v>7600115574</v>
          </cell>
          <cell r="C289" t="str">
            <v>HEALTH CARE IPS SAS</v>
          </cell>
          <cell r="E289">
            <v>901731005</v>
          </cell>
          <cell r="F289">
            <v>1</v>
          </cell>
          <cell r="G289" t="str">
            <v>HEALTH CARE IPS SAS</v>
          </cell>
          <cell r="H289" t="str">
            <v>Privada</v>
          </cell>
        </row>
        <row r="290">
          <cell r="B290">
            <v>7600110159</v>
          </cell>
          <cell r="C290" t="str">
            <v>HEALTH SUPPLIERS SAS</v>
          </cell>
          <cell r="E290">
            <v>900792558</v>
          </cell>
          <cell r="F290">
            <v>1</v>
          </cell>
          <cell r="G290" t="str">
            <v>HEALTH SUPPLIERS SAS</v>
          </cell>
          <cell r="H290" t="str">
            <v>Privada</v>
          </cell>
        </row>
        <row r="291">
          <cell r="B291">
            <v>7600107985</v>
          </cell>
          <cell r="C291" t="str">
            <v>Helpharma SAS</v>
          </cell>
          <cell r="E291">
            <v>900277244</v>
          </cell>
          <cell r="F291">
            <v>4</v>
          </cell>
          <cell r="G291" t="str">
            <v>Helpharma SAS</v>
          </cell>
          <cell r="H291" t="str">
            <v>Privada</v>
          </cell>
        </row>
        <row r="292">
          <cell r="B292">
            <v>7600105416</v>
          </cell>
          <cell r="C292" t="str">
            <v>HEMATO ONCOLOGOS S.A.</v>
          </cell>
          <cell r="E292">
            <v>805017350</v>
          </cell>
          <cell r="F292">
            <v>8</v>
          </cell>
          <cell r="G292" t="str">
            <v>HEMATO ONCOLOGOS S.A.</v>
          </cell>
          <cell r="H292" t="str">
            <v>Privada</v>
          </cell>
        </row>
        <row r="293">
          <cell r="B293">
            <v>7600103257</v>
          </cell>
          <cell r="C293" t="str">
            <v>HISTOTECNOLOGOS SH LTDA</v>
          </cell>
          <cell r="E293">
            <v>800246718</v>
          </cell>
          <cell r="F293">
            <v>8</v>
          </cell>
          <cell r="G293" t="str">
            <v>HISTOTECNOLOGOS SH LTDA</v>
          </cell>
          <cell r="H293" t="str">
            <v>Privada</v>
          </cell>
        </row>
        <row r="294">
          <cell r="B294">
            <v>7600108097</v>
          </cell>
          <cell r="C294" t="str">
            <v>HOGAR MEDICO DEL VALLE S.A.S.</v>
          </cell>
          <cell r="E294">
            <v>900405012</v>
          </cell>
          <cell r="F294">
            <v>2</v>
          </cell>
          <cell r="G294" t="str">
            <v>HOGAR MEDICO DEL VALLE S.A.S.</v>
          </cell>
          <cell r="H294" t="str">
            <v>Privada</v>
          </cell>
        </row>
        <row r="295">
          <cell r="B295">
            <v>7600106039</v>
          </cell>
          <cell r="C295" t="str">
            <v>HOLISTICA UNIDAD DE MEDICINA INTEGRAL</v>
          </cell>
          <cell r="E295">
            <v>805010997</v>
          </cell>
          <cell r="F295">
            <v>0</v>
          </cell>
          <cell r="G295" t="str">
            <v>HOLISTICA UNIDAD DE MEDICINA INTEGRAL</v>
          </cell>
          <cell r="H295" t="str">
            <v>Privada</v>
          </cell>
        </row>
        <row r="296">
          <cell r="B296">
            <v>7600103715</v>
          </cell>
          <cell r="C296" t="str">
            <v>HOSPITAL DE SAN JUAN DE DIOS</v>
          </cell>
          <cell r="E296">
            <v>890303841</v>
          </cell>
          <cell r="F296">
            <v>8</v>
          </cell>
          <cell r="G296" t="str">
            <v>HOSPITAL DE SAN JUAN DE DIOS</v>
          </cell>
          <cell r="H296" t="str">
            <v>Privada</v>
          </cell>
        </row>
        <row r="297">
          <cell r="B297">
            <v>7600103954</v>
          </cell>
          <cell r="C297" t="str">
            <v>HOSPITAL DEPARTAMENTAL MARIO CORREA RENGIFO EMPRESA SOCIAL DEL ESTADO</v>
          </cell>
          <cell r="E297">
            <v>890399047</v>
          </cell>
          <cell r="F297">
            <v>8</v>
          </cell>
          <cell r="G297" t="str">
            <v>HOSPITAL DEPARTAMENTAL MARIO CORREA RENGIFO EMPRESA SOCIAL DEL ESTADO</v>
          </cell>
          <cell r="H297" t="str">
            <v>Pública</v>
          </cell>
        </row>
        <row r="298">
          <cell r="B298">
            <v>7600103609</v>
          </cell>
          <cell r="C298" t="str">
            <v>HOSPITAL DEPARTAMENTAL PSIQUIATRICO UNIVERSITARIO DEL VALLE E.S.E</v>
          </cell>
          <cell r="E298">
            <v>890304155</v>
          </cell>
          <cell r="F298">
            <v>8</v>
          </cell>
          <cell r="G298" t="str">
            <v>E.S.E. HOSPITAL DEPARTAMENTAL PSIQUIATRICO UNIVERSITARIO DEL VALLE</v>
          </cell>
          <cell r="H298" t="str">
            <v>Pública</v>
          </cell>
        </row>
        <row r="299">
          <cell r="B299">
            <v>7600105115</v>
          </cell>
          <cell r="C299" t="str">
            <v>HOSPITAL ISAIAS DUARTE CANCINO EMPRESA SOCIAL DEL ESTADO</v>
          </cell>
          <cell r="E299">
            <v>805028530</v>
          </cell>
          <cell r="F299">
            <v>4</v>
          </cell>
          <cell r="G299" t="str">
            <v>HOSPITAL ISAIAS DUARTE CANCINO EMPRESA SOCIAL DEL ESTADO</v>
          </cell>
          <cell r="H299" t="str">
            <v>Pública</v>
          </cell>
        </row>
        <row r="300">
          <cell r="B300">
            <v>7600116121</v>
          </cell>
          <cell r="C300" t="str">
            <v>HOSPITAL UNITRAUMA SAS</v>
          </cell>
          <cell r="E300">
            <v>901107659</v>
          </cell>
          <cell r="F300">
            <v>2</v>
          </cell>
          <cell r="G300" t="str">
            <v>HOSPITAL UNITRAUMA SAS</v>
          </cell>
          <cell r="H300" t="str">
            <v>Privada</v>
          </cell>
        </row>
        <row r="301">
          <cell r="B301">
            <v>7600103799</v>
          </cell>
          <cell r="C301" t="str">
            <v>Hospital Universitario del Valle "Evaristo Garcia" E.S.E.</v>
          </cell>
          <cell r="E301">
            <v>890303461</v>
          </cell>
          <cell r="F301">
            <v>2</v>
          </cell>
          <cell r="G301" t="str">
            <v>E.S.E. HOSPITAL UNIVERSITARIO DEL VALLE EVARISTO GARCIA EMPRESA SOCIAL DEL ESTADO</v>
          </cell>
          <cell r="H301" t="str">
            <v>Pública</v>
          </cell>
        </row>
        <row r="302">
          <cell r="B302">
            <v>7600107320</v>
          </cell>
          <cell r="C302" t="str">
            <v>HOSPITRAUMA LIMITADA</v>
          </cell>
          <cell r="E302">
            <v>805002370</v>
          </cell>
          <cell r="F302">
            <v>1</v>
          </cell>
          <cell r="G302" t="str">
            <v>HOSPITRAUMA LIMITADA</v>
          </cell>
          <cell r="H302" t="str">
            <v>Privada</v>
          </cell>
        </row>
        <row r="303">
          <cell r="B303">
            <v>7600109291</v>
          </cell>
          <cell r="C303" t="str">
            <v>HSE/Q OCUPACIONAL LIMITADA</v>
          </cell>
          <cell r="E303">
            <v>900235365</v>
          </cell>
          <cell r="F303">
            <v>7</v>
          </cell>
          <cell r="G303" t="str">
            <v>HSE/Q OCUPACIONAL LIMITADA</v>
          </cell>
          <cell r="H303" t="str">
            <v>Privada</v>
          </cell>
        </row>
        <row r="304">
          <cell r="B304">
            <v>7600116013</v>
          </cell>
          <cell r="C304" t="str">
            <v>HTLYC SAS</v>
          </cell>
          <cell r="E304">
            <v>901799429</v>
          </cell>
          <cell r="F304">
            <v>3</v>
          </cell>
          <cell r="G304" t="str">
            <v>HTLYC SAS</v>
          </cell>
          <cell r="H304" t="str">
            <v>Privada</v>
          </cell>
        </row>
        <row r="305">
          <cell r="B305">
            <v>7600102709</v>
          </cell>
          <cell r="C305" t="str">
            <v>HUBERT RUIZ OPTICA LTDA</v>
          </cell>
          <cell r="E305">
            <v>800096757</v>
          </cell>
          <cell r="F305">
            <v>0</v>
          </cell>
          <cell r="G305" t="str">
            <v>HUBERT RUIZ OPTICA LTDA</v>
          </cell>
          <cell r="H305" t="str">
            <v>Privada</v>
          </cell>
        </row>
        <row r="306">
          <cell r="B306">
            <v>7600106675</v>
          </cell>
          <cell r="C306" t="str">
            <v>HUMAN FINE S.A.S.</v>
          </cell>
          <cell r="E306">
            <v>900166682</v>
          </cell>
          <cell r="F306">
            <v>0</v>
          </cell>
          <cell r="G306" t="str">
            <v>HUMAN FINE S.A.S.</v>
          </cell>
          <cell r="H306" t="str">
            <v>Privada</v>
          </cell>
        </row>
        <row r="307">
          <cell r="B307">
            <v>7600115830</v>
          </cell>
          <cell r="C307" t="str">
            <v>I.P.S GOLEMAN SERVICIO INTEGRAL S.A.S.</v>
          </cell>
          <cell r="E307">
            <v>900231829</v>
          </cell>
          <cell r="F307">
            <v>4</v>
          </cell>
          <cell r="G307" t="str">
            <v>I.P.S GOLEMAN SERVICIO INTEGRAL S.A.S.</v>
          </cell>
          <cell r="H307" t="str">
            <v>Privada</v>
          </cell>
        </row>
        <row r="308">
          <cell r="B308">
            <v>7600107998</v>
          </cell>
          <cell r="C308" t="str">
            <v>I.P.S. GRUPO ODONTOLOGICO JAIME BECSKY SOCIEDAD POR ACCIONES SIMPLIFICADA</v>
          </cell>
          <cell r="E308">
            <v>805014208</v>
          </cell>
          <cell r="F308">
            <v>6</v>
          </cell>
          <cell r="G308" t="str">
            <v>I.P.S. GRUPO ODONTOLOGICO JAIME BECSKY SOCIEDAD POR ACCIONES SIMPLIFICADA</v>
          </cell>
          <cell r="H308" t="str">
            <v>Privada</v>
          </cell>
        </row>
        <row r="309">
          <cell r="B309">
            <v>7600110555</v>
          </cell>
          <cell r="C309" t="str">
            <v>I.P.S.CINES CENTRO INTERNACIONAL DE ESPECIALISTAS Y CIA LTDA</v>
          </cell>
          <cell r="E309">
            <v>900933576</v>
          </cell>
          <cell r="F309">
            <v>9</v>
          </cell>
          <cell r="G309" t="str">
            <v>I.P.S. CINES CENTRO INTERNACIONAL DE ESPECIALISTAS &amp; CIA LTDA</v>
          </cell>
          <cell r="H309" t="str">
            <v>Privada</v>
          </cell>
        </row>
        <row r="310">
          <cell r="B310">
            <v>7600116369</v>
          </cell>
          <cell r="C310" t="str">
            <v>ILEANOVO SOLUCIONES CAPILARES CALI</v>
          </cell>
          <cell r="E310">
            <v>901235004</v>
          </cell>
          <cell r="F310">
            <v>7</v>
          </cell>
          <cell r="G310" t="str">
            <v>CLINICA ESTETICA MAYEIA S.A.S</v>
          </cell>
          <cell r="H310" t="str">
            <v>Privada</v>
          </cell>
        </row>
        <row r="311">
          <cell r="B311">
            <v>7600108218</v>
          </cell>
          <cell r="C311" t="str">
            <v>IMAGEN CLINICA QUIRURGICA S.A.S.</v>
          </cell>
          <cell r="E311">
            <v>900336656</v>
          </cell>
          <cell r="F311">
            <v>9</v>
          </cell>
          <cell r="G311" t="str">
            <v>IMAGEN CLINICA QUIRURGICA S.A.S.</v>
          </cell>
          <cell r="H311" t="str">
            <v>Privada</v>
          </cell>
        </row>
        <row r="312">
          <cell r="B312">
            <v>7600107668</v>
          </cell>
          <cell r="C312" t="str">
            <v>Imagenes Diagnosticas San Jose</v>
          </cell>
          <cell r="E312">
            <v>900272615</v>
          </cell>
          <cell r="F312">
            <v>0</v>
          </cell>
          <cell r="G312" t="str">
            <v>Imagenes Diagnosticas San Jose</v>
          </cell>
          <cell r="H312" t="str">
            <v>Privada</v>
          </cell>
        </row>
        <row r="313">
          <cell r="B313">
            <v>7600116111</v>
          </cell>
          <cell r="C313" t="str">
            <v>Inmunotech Laboratories SAS</v>
          </cell>
          <cell r="E313">
            <v>830141394</v>
          </cell>
          <cell r="F313">
            <v>2</v>
          </cell>
          <cell r="G313" t="str">
            <v>INMUNOTECH LABORATORIES S.A.S.</v>
          </cell>
          <cell r="H313" t="str">
            <v>Privada</v>
          </cell>
        </row>
        <row r="314">
          <cell r="B314">
            <v>7600108483</v>
          </cell>
          <cell r="C314" t="str">
            <v>INSEMED S.A.S.</v>
          </cell>
          <cell r="E314">
            <v>900482011</v>
          </cell>
          <cell r="F314">
            <v>3</v>
          </cell>
          <cell r="G314" t="str">
            <v>INSEMED S.A.S.</v>
          </cell>
          <cell r="H314" t="str">
            <v>Privada</v>
          </cell>
        </row>
        <row r="315">
          <cell r="B315">
            <v>7600100816</v>
          </cell>
          <cell r="C315" t="str">
            <v>INSTITUCION PRESTADORA DE SERVICIOS ODONTOLOGICOS I.P.S.O S.A.S</v>
          </cell>
          <cell r="E315">
            <v>805001648</v>
          </cell>
          <cell r="F315">
            <v>7</v>
          </cell>
          <cell r="G315" t="str">
            <v>INSTITUCION PRESTADORA DE SERVICIOS ODONTOLOGICOS I.P.S.O S.A.S</v>
          </cell>
          <cell r="H315" t="str">
            <v>Privada</v>
          </cell>
        </row>
        <row r="316">
          <cell r="B316">
            <v>7600108547</v>
          </cell>
          <cell r="C316" t="str">
            <v>Institucion Universitaria Escuela Nacional del Deporte</v>
          </cell>
          <cell r="E316">
            <v>805001868</v>
          </cell>
          <cell r="F316">
            <v>0</v>
          </cell>
          <cell r="G316" t="str">
            <v>Institucion Universitaria Escuela Nacional del Deporte</v>
          </cell>
          <cell r="H316" t="str">
            <v>Pública</v>
          </cell>
        </row>
        <row r="317">
          <cell r="B317">
            <v>7600116229</v>
          </cell>
          <cell r="C317" t="str">
            <v>INSTITUTO COLOMBIANO DE EPIGENETICA MEDICA S.A.S.</v>
          </cell>
          <cell r="E317">
            <v>900772608</v>
          </cell>
          <cell r="F317">
            <v>4</v>
          </cell>
          <cell r="G317" t="str">
            <v>INSTITUTO COLOMBIANO DE EPIGENETICA MEDICA S.A.S.</v>
          </cell>
          <cell r="H317" t="str">
            <v>Privada</v>
          </cell>
        </row>
        <row r="318">
          <cell r="B318">
            <v>7600110458</v>
          </cell>
          <cell r="C318" t="str">
            <v>INSTITUTO DE CIRUGIA CARDIOVASCULAR COLMEX SAS</v>
          </cell>
          <cell r="E318">
            <v>900900967</v>
          </cell>
          <cell r="F318">
            <v>3</v>
          </cell>
          <cell r="G318" t="str">
            <v>INSTITUTO DE CIRUGIA CARDIOVASCULAR COLMEX SAS</v>
          </cell>
          <cell r="H318" t="str">
            <v>Privada</v>
          </cell>
        </row>
        <row r="319">
          <cell r="B319">
            <v>7600108149</v>
          </cell>
          <cell r="C319" t="str">
            <v>INSTITUTO DE DIAGNOSTICO MEDICO S.A.</v>
          </cell>
          <cell r="E319">
            <v>800065396</v>
          </cell>
          <cell r="F319">
            <v>2</v>
          </cell>
          <cell r="G319" t="str">
            <v>INSTITUTO DE DIAGNOSTICO MEDICO S.A.</v>
          </cell>
          <cell r="H319" t="str">
            <v>Privada</v>
          </cell>
        </row>
        <row r="320">
          <cell r="B320">
            <v>7600106878</v>
          </cell>
          <cell r="C320" t="str">
            <v>INSTITUTO DE GENÉTICA MÉDICA DRA CAROLINA IZASA LTDA</v>
          </cell>
          <cell r="E320">
            <v>900195639</v>
          </cell>
          <cell r="F320">
            <v>7</v>
          </cell>
          <cell r="G320" t="str">
            <v>INSTITUTO DE GENÉTICA MÉDICA DRA CAROLINA IZASA LTDA</v>
          </cell>
          <cell r="H320" t="str">
            <v>Privada</v>
          </cell>
        </row>
        <row r="321">
          <cell r="B321">
            <v>7600113228</v>
          </cell>
          <cell r="C321" t="str">
            <v>Instituto Diagnostico Cardiovascular</v>
          </cell>
          <cell r="E321">
            <v>901430733</v>
          </cell>
          <cell r="F321">
            <v>3</v>
          </cell>
          <cell r="G321" t="str">
            <v>Instituto Diagnostico Cardiovascular</v>
          </cell>
          <cell r="H321" t="str">
            <v>Privada</v>
          </cell>
        </row>
        <row r="322">
          <cell r="B322">
            <v>7600112124</v>
          </cell>
          <cell r="C322" t="str">
            <v>INSTITUTO NEUROLÓGICO DEL PACIFICO SAS</v>
          </cell>
          <cell r="E322">
            <v>901233420</v>
          </cell>
          <cell r="F322">
            <v>9</v>
          </cell>
          <cell r="G322" t="str">
            <v>INSTITUTO NEUROLÓGICO DEL PACIFICO SAS</v>
          </cell>
          <cell r="H322" t="str">
            <v>Privada</v>
          </cell>
        </row>
        <row r="323">
          <cell r="B323">
            <v>7600100165</v>
          </cell>
          <cell r="C323" t="str">
            <v>Instituto ocular de occidente SAS</v>
          </cell>
          <cell r="E323">
            <v>890326698</v>
          </cell>
          <cell r="F323">
            <v>1</v>
          </cell>
          <cell r="G323" t="str">
            <v>Instituto ocular de occidente SAS</v>
          </cell>
          <cell r="H323" t="str">
            <v>Privada</v>
          </cell>
        </row>
        <row r="324">
          <cell r="B324">
            <v>7600115412</v>
          </cell>
          <cell r="C324" t="str">
            <v>INSTITUTO ONCOLOGICO OSPEDALE S.A.S.</v>
          </cell>
          <cell r="E324">
            <v>901497939</v>
          </cell>
          <cell r="F324">
            <v>1</v>
          </cell>
          <cell r="G324" t="str">
            <v>INSTITUTO ONCOLOGICO OSPEDALE S.A.S.</v>
          </cell>
          <cell r="H324" t="str">
            <v>Privada</v>
          </cell>
        </row>
        <row r="325">
          <cell r="B325">
            <v>7600105205</v>
          </cell>
          <cell r="C325" t="str">
            <v>INSTITUTO PARA NIÑOS CIEGOS Y SORDOS DEL VALLE DEL CAUCA</v>
          </cell>
          <cell r="E325">
            <v>890303395</v>
          </cell>
          <cell r="F325">
            <v>4</v>
          </cell>
          <cell r="G325" t="str">
            <v>INSTITUTO PARA NIÑOS CIEGOS Y SORDOS DEL VALLE DEL CAUCA</v>
          </cell>
          <cell r="H325" t="str">
            <v>Privada</v>
          </cell>
        </row>
        <row r="326">
          <cell r="B326">
            <v>7600115283</v>
          </cell>
          <cell r="C326" t="str">
            <v>INSTITUTO PARA TRASTORNO DE LA CONDUCTA</v>
          </cell>
          <cell r="E326">
            <v>901001711</v>
          </cell>
          <cell r="F326">
            <v>1</v>
          </cell>
          <cell r="G326" t="str">
            <v>INSTITUTO PARA TRASTORNO DE LA CONDUCTA SAS</v>
          </cell>
          <cell r="H326" t="str">
            <v>Privada</v>
          </cell>
        </row>
        <row r="327">
          <cell r="B327">
            <v>7600107783</v>
          </cell>
          <cell r="C327" t="str">
            <v>Instituto Radiologico del Suroccidente SAS</v>
          </cell>
          <cell r="E327">
            <v>900186318</v>
          </cell>
          <cell r="F327">
            <v>1</v>
          </cell>
          <cell r="G327" t="str">
            <v>Instituto Radiologico del Suroccidente SAS</v>
          </cell>
          <cell r="H327" t="str">
            <v>Privada</v>
          </cell>
        </row>
        <row r="328">
          <cell r="B328">
            <v>7600115651</v>
          </cell>
          <cell r="C328" t="str">
            <v>INTEGRAL I.P.S. SAS</v>
          </cell>
          <cell r="E328">
            <v>900273921</v>
          </cell>
          <cell r="F328">
            <v>4</v>
          </cell>
          <cell r="G328" t="str">
            <v>INTEGRAL I.P.S. SAS</v>
          </cell>
          <cell r="H328" t="str">
            <v>Privada</v>
          </cell>
        </row>
        <row r="329">
          <cell r="B329">
            <v>7600109739</v>
          </cell>
          <cell r="C329" t="str">
            <v>INTEGRAL SOLUTIONS SD SAS</v>
          </cell>
          <cell r="E329">
            <v>900348830</v>
          </cell>
          <cell r="F329">
            <v>6</v>
          </cell>
          <cell r="G329" t="str">
            <v>INTEGRAL SOLUTIONS SD SAS</v>
          </cell>
          <cell r="H329" t="str">
            <v>Privada</v>
          </cell>
        </row>
        <row r="330">
          <cell r="B330">
            <v>7600103346</v>
          </cell>
          <cell r="C330" t="str">
            <v>INTERFACE LTDA</v>
          </cell>
          <cell r="E330">
            <v>805007949</v>
          </cell>
          <cell r="F330">
            <v>6</v>
          </cell>
          <cell r="G330" t="str">
            <v>INTERFACE LTDA</v>
          </cell>
          <cell r="H330" t="str">
            <v>Privada</v>
          </cell>
        </row>
        <row r="331">
          <cell r="B331">
            <v>7600106645</v>
          </cell>
          <cell r="C331" t="str">
            <v>INTRAS CENTRO DE RECONOCIMIENTO DE CONDUCTORES SAS</v>
          </cell>
          <cell r="E331">
            <v>900162167</v>
          </cell>
          <cell r="F331">
            <v>0</v>
          </cell>
          <cell r="G331" t="str">
            <v>INTRAS CENTRO DE RECONOCIMIENTO DE CONDUCTORES S.A</v>
          </cell>
          <cell r="H331" t="str">
            <v>Privada</v>
          </cell>
        </row>
        <row r="332">
          <cell r="B332">
            <v>7600106422</v>
          </cell>
          <cell r="C332" t="str">
            <v>INVERSIONES CERCA CRC VALLE S.A</v>
          </cell>
          <cell r="E332">
            <v>900117122</v>
          </cell>
          <cell r="F332">
            <v>9</v>
          </cell>
          <cell r="G332" t="str">
            <v>INVERSIONES CERCA CRC VALLE S.A</v>
          </cell>
          <cell r="H332" t="str">
            <v>Privada</v>
          </cell>
        </row>
        <row r="333">
          <cell r="B333">
            <v>7600105358</v>
          </cell>
          <cell r="C333" t="str">
            <v>INVERSIONES CREAR RAMA SAS</v>
          </cell>
          <cell r="E333">
            <v>830010671</v>
          </cell>
          <cell r="F333">
            <v>6</v>
          </cell>
          <cell r="G333" t="str">
            <v>INVERSIONES CREAR RAMA SAS</v>
          </cell>
          <cell r="H333" t="str">
            <v>Privada</v>
          </cell>
        </row>
        <row r="334">
          <cell r="B334">
            <v>7600102599</v>
          </cell>
          <cell r="C334" t="str">
            <v>INVERSIONES DAMA SALUD SAS</v>
          </cell>
          <cell r="E334">
            <v>830108482</v>
          </cell>
          <cell r="F334">
            <v>3</v>
          </cell>
          <cell r="G334" t="str">
            <v>INVERSIONES DAMA SALUD SAS</v>
          </cell>
          <cell r="H334" t="str">
            <v>Privada</v>
          </cell>
        </row>
        <row r="335">
          <cell r="B335">
            <v>7600112323</v>
          </cell>
          <cell r="C335" t="str">
            <v>INVERSIONES DERMATOLOGICAS S.A.S</v>
          </cell>
          <cell r="E335">
            <v>900386914</v>
          </cell>
          <cell r="F335">
            <v>8</v>
          </cell>
          <cell r="G335" t="str">
            <v>INVERSIONES DERMATOLOGICAS S.A.S</v>
          </cell>
          <cell r="H335" t="str">
            <v>Privada</v>
          </cell>
        </row>
        <row r="336">
          <cell r="B336">
            <v>7600108819</v>
          </cell>
          <cell r="C336" t="str">
            <v>Inversiones Duque Espinosa SAS</v>
          </cell>
          <cell r="E336">
            <v>900520389</v>
          </cell>
          <cell r="F336">
            <v>5</v>
          </cell>
          <cell r="G336" t="str">
            <v>Inversiones Duque Espinosa SAS</v>
          </cell>
          <cell r="H336" t="str">
            <v>Privada</v>
          </cell>
        </row>
        <row r="337">
          <cell r="B337">
            <v>7600106583</v>
          </cell>
          <cell r="C337" t="str">
            <v>INVERSIONES EN RECREACION DEPORTE Y SALUD S.A. Sigla: BODYTECH S.A.</v>
          </cell>
          <cell r="E337">
            <v>830033206</v>
          </cell>
          <cell r="F337">
            <v>3</v>
          </cell>
          <cell r="G337" t="str">
            <v>INVERSIONES EN RECREACION DEPORTE Y SALUD S.A. Sigla: BODYTECH S.A.</v>
          </cell>
          <cell r="H337" t="str">
            <v>Privada</v>
          </cell>
        </row>
        <row r="338">
          <cell r="B338">
            <v>7600115647</v>
          </cell>
          <cell r="C338" t="str">
            <v>INVERSIONES EN SALUD DEL VALLE SAS</v>
          </cell>
          <cell r="E338">
            <v>901714987</v>
          </cell>
          <cell r="F338">
            <v>7</v>
          </cell>
          <cell r="G338" t="str">
            <v>INVERSIONES EN SALUD DEL VALLE SAS</v>
          </cell>
          <cell r="H338" t="str">
            <v>Privada</v>
          </cell>
        </row>
        <row r="339">
          <cell r="B339">
            <v>7600109614</v>
          </cell>
          <cell r="C339" t="str">
            <v>INVERSIONES MEDICAS VALLE SALUD S.A.S.</v>
          </cell>
          <cell r="E339">
            <v>900631361</v>
          </cell>
          <cell r="F339">
            <v>6</v>
          </cell>
          <cell r="G339" t="str">
            <v>INVERSIONES MEDICAS VALLE SALUD S.A.S.</v>
          </cell>
          <cell r="H339" t="str">
            <v>Privada</v>
          </cell>
        </row>
        <row r="340">
          <cell r="B340">
            <v>7600108376</v>
          </cell>
          <cell r="C340" t="str">
            <v>INVERSIONES NELSON JAVIER MUÑOZ CANTILLO SAS</v>
          </cell>
          <cell r="E340">
            <v>900461318</v>
          </cell>
          <cell r="F340">
            <v>9</v>
          </cell>
          <cell r="G340" t="str">
            <v>INVERSIONES NELSON JAVIER MUÑOZ CANTILLO SAS</v>
          </cell>
          <cell r="H340" t="str">
            <v>Privada</v>
          </cell>
        </row>
        <row r="341">
          <cell r="B341">
            <v>7600108714</v>
          </cell>
          <cell r="C341" t="str">
            <v>IPS CENTRO DE EXCELENCIA EN RIESGO INTEGRAL ORTOPEDICO - LOGISTICA MEDICA S.A.S.</v>
          </cell>
          <cell r="E341">
            <v>900464965</v>
          </cell>
          <cell r="F341">
            <v>8</v>
          </cell>
          <cell r="G341" t="str">
            <v>IPS CENTRO DE EXCELENCIA EN RIESGO INTEGRAL ORTOPEDICO - LOGISTICA MEDICA S.A.S.</v>
          </cell>
          <cell r="H341" t="str">
            <v>Privada</v>
          </cell>
        </row>
        <row r="342">
          <cell r="B342">
            <v>7600107643</v>
          </cell>
          <cell r="C342" t="str">
            <v>IPS CENTRO MEDICO JULIAN CORONEL S.A.S</v>
          </cell>
          <cell r="E342">
            <v>900322705</v>
          </cell>
          <cell r="F342">
            <v>0</v>
          </cell>
          <cell r="G342" t="str">
            <v>IPS CENTRO MEDICO JULIAN CORONEL S.A.S</v>
          </cell>
          <cell r="H342" t="str">
            <v>Privada</v>
          </cell>
        </row>
        <row r="343">
          <cell r="B343">
            <v>7600115690</v>
          </cell>
          <cell r="C343" t="str">
            <v>IPS CUIDANDOLOS CON AMOR S.A.S</v>
          </cell>
          <cell r="E343">
            <v>901725021</v>
          </cell>
          <cell r="F343">
            <v>5</v>
          </cell>
          <cell r="G343" t="str">
            <v>IPS CUIDANDOLOS CON AMOR S.A.S</v>
          </cell>
          <cell r="H343" t="str">
            <v>Privada</v>
          </cell>
        </row>
        <row r="344">
          <cell r="B344">
            <v>7600107513</v>
          </cell>
          <cell r="C344" t="str">
            <v>IPS ESPECIALIZADA S.A.</v>
          </cell>
          <cell r="E344">
            <v>900293923</v>
          </cell>
          <cell r="F344">
            <v>4</v>
          </cell>
          <cell r="G344" t="str">
            <v>IPS ESPECIALIZADA S.A.</v>
          </cell>
          <cell r="H344" t="str">
            <v>Privada</v>
          </cell>
        </row>
        <row r="345">
          <cell r="B345">
            <v>7600113259</v>
          </cell>
          <cell r="C345" t="str">
            <v>IPS EXAM SALUD OCUPACIONAL Y CENTRO DE RECONOCIMIENTO DE CONDUCTORES S.A.S</v>
          </cell>
          <cell r="E345">
            <v>901727823</v>
          </cell>
          <cell r="F345">
            <v>4</v>
          </cell>
          <cell r="G345" t="str">
            <v>IPS EXAM SALUD OCUPACIONAL Y CENTRO DE RECONOCIMIENTO DE CONDUCTORES S.A.S</v>
          </cell>
          <cell r="H345" t="str">
            <v>Privada</v>
          </cell>
        </row>
        <row r="346">
          <cell r="B346">
            <v>7600109818</v>
          </cell>
          <cell r="C346" t="str">
            <v>IPS FELIPE GUTIERREZ ZULUAGA ODONTOLOGIA INTEGRAL SOCIEDAD POR ACCIONES SIMPLIFICADA</v>
          </cell>
          <cell r="E346">
            <v>900780211</v>
          </cell>
          <cell r="F346">
            <v>8</v>
          </cell>
          <cell r="G346" t="str">
            <v>IPS FELIPE GUTIERREZ ZULUAGA ODONTOLOGIA INTEGRAL SOCIEDAD POR ACCIONES SIMPLIFICADA</v>
          </cell>
          <cell r="H346" t="str">
            <v>Privada</v>
          </cell>
        </row>
        <row r="347">
          <cell r="B347">
            <v>7600108742</v>
          </cell>
          <cell r="C347" t="str">
            <v>IPS FICADES SAS</v>
          </cell>
          <cell r="E347">
            <v>900215581</v>
          </cell>
          <cell r="F347">
            <v>6</v>
          </cell>
          <cell r="G347" t="str">
            <v>IPS FICADES SAS</v>
          </cell>
          <cell r="H347" t="str">
            <v>Privada</v>
          </cell>
        </row>
        <row r="348">
          <cell r="B348">
            <v>7600112796</v>
          </cell>
          <cell r="C348" t="str">
            <v>IPS HORIZONTE SOCIAL LA ESPERANZA SOCIEDAD POR ACCIONES SIMPLIFICADA</v>
          </cell>
          <cell r="E348">
            <v>901011395</v>
          </cell>
          <cell r="F348">
            <v>1</v>
          </cell>
          <cell r="G348" t="str">
            <v>IPS HORIZONTE SOCIAL LA ESPERANZA SOCIEDAD POR ACCIONES SIMPLIFICADA</v>
          </cell>
          <cell r="H348" t="str">
            <v>Privada</v>
          </cell>
        </row>
        <row r="349">
          <cell r="B349">
            <v>7600112998</v>
          </cell>
          <cell r="C349" t="str">
            <v>IPS JM, TU CLINICA DOMICILIARIA SAS</v>
          </cell>
          <cell r="E349">
            <v>901390714</v>
          </cell>
          <cell r="F349">
            <v>0</v>
          </cell>
          <cell r="G349" t="str">
            <v>IPS JM, TU CLINICA DOMICILIARIA SAS</v>
          </cell>
          <cell r="H349" t="str">
            <v>Privada</v>
          </cell>
        </row>
        <row r="350">
          <cell r="B350">
            <v>7600115422</v>
          </cell>
          <cell r="C350" t="str">
            <v>IPS MAS SALUD OCUPACIONAL SAS</v>
          </cell>
          <cell r="E350">
            <v>901474857</v>
          </cell>
          <cell r="F350">
            <v>7</v>
          </cell>
          <cell r="G350" t="str">
            <v>IPS MAS SALUD OCUPACIONAL SAS</v>
          </cell>
          <cell r="H350" t="str">
            <v>Privada</v>
          </cell>
        </row>
        <row r="351">
          <cell r="B351">
            <v>7600111053</v>
          </cell>
          <cell r="C351" t="str">
            <v>IPS MEDILAB SAS</v>
          </cell>
          <cell r="E351">
            <v>900981115</v>
          </cell>
          <cell r="F351">
            <v>1</v>
          </cell>
          <cell r="G351" t="str">
            <v>IPS MEDILAB S.A.S</v>
          </cell>
          <cell r="H351" t="str">
            <v>Privada</v>
          </cell>
        </row>
        <row r="352">
          <cell r="B352">
            <v>7600107047</v>
          </cell>
          <cell r="C352" t="str">
            <v>IPS OCUPACIONAL SANTA CLARA S.A.S</v>
          </cell>
          <cell r="E352">
            <v>900207684</v>
          </cell>
          <cell r="F352">
            <v>2</v>
          </cell>
          <cell r="G352" t="str">
            <v>IPS OCUPACIONAL SANTA CLARA S.A.S</v>
          </cell>
          <cell r="H352" t="str">
            <v>Privada</v>
          </cell>
        </row>
        <row r="353">
          <cell r="B353">
            <v>7600108904</v>
          </cell>
          <cell r="C353" t="str">
            <v>IPS ODONTOANGEL SAS</v>
          </cell>
          <cell r="E353">
            <v>900566668</v>
          </cell>
          <cell r="F353">
            <v>3</v>
          </cell>
          <cell r="G353" t="str">
            <v>IPS ODONTOANGEL SAS</v>
          </cell>
          <cell r="H353" t="str">
            <v>Privada</v>
          </cell>
        </row>
        <row r="354">
          <cell r="B354">
            <v>7600108838</v>
          </cell>
          <cell r="C354" t="str">
            <v>IPS ODONTOLOGICA Y MEDICA ZAMUDIO S.A.S.</v>
          </cell>
          <cell r="E354">
            <v>900540762</v>
          </cell>
          <cell r="F354">
            <v>5</v>
          </cell>
          <cell r="G354" t="str">
            <v>IPS ODONTOLOGICA Y MEDICA ZAMUDIO S.A.S.</v>
          </cell>
          <cell r="H354" t="str">
            <v>Privada</v>
          </cell>
        </row>
        <row r="355">
          <cell r="B355">
            <v>7600112819</v>
          </cell>
          <cell r="C355" t="str">
            <v>IPS OSTEOSALUD</v>
          </cell>
          <cell r="E355">
            <v>901076575</v>
          </cell>
          <cell r="F355">
            <v>8</v>
          </cell>
          <cell r="G355" t="str">
            <v>IPS OSTEOSALUD DEL CAUCA SAS</v>
          </cell>
          <cell r="H355" t="str">
            <v>Privada</v>
          </cell>
        </row>
        <row r="356">
          <cell r="B356">
            <v>7600110368</v>
          </cell>
          <cell r="C356" t="str">
            <v>IPS PREVENTIVA FARALLONES SAS</v>
          </cell>
          <cell r="E356">
            <v>900895359</v>
          </cell>
          <cell r="F356">
            <v>3</v>
          </cell>
          <cell r="G356" t="str">
            <v>IPS PREVENTIVA FARALLONES SAS</v>
          </cell>
          <cell r="H356" t="str">
            <v>Privada</v>
          </cell>
        </row>
        <row r="357">
          <cell r="B357">
            <v>7600108775</v>
          </cell>
          <cell r="C357" t="str">
            <v>IPS SALUD OCUPACIONAL ASESORES SAS</v>
          </cell>
          <cell r="E357">
            <v>900521335</v>
          </cell>
          <cell r="F357">
            <v>2</v>
          </cell>
          <cell r="G357" t="str">
            <v>IPS SALUD OCUPACIONAL ASESORES SAS</v>
          </cell>
          <cell r="H357" t="str">
            <v>Privada</v>
          </cell>
        </row>
        <row r="358">
          <cell r="B358">
            <v>7600116421</v>
          </cell>
          <cell r="C358" t="str">
            <v>IPS SALUD Y VIDA PACIFIC S . A . S</v>
          </cell>
          <cell r="E358">
            <v>900790008</v>
          </cell>
          <cell r="F358">
            <v>1</v>
          </cell>
          <cell r="G358" t="str">
            <v>IPS SALUD Y VIDA PACIFIC S.A.S</v>
          </cell>
          <cell r="H358" t="str">
            <v>Privada</v>
          </cell>
        </row>
        <row r="359">
          <cell r="B359">
            <v>7600115776</v>
          </cell>
          <cell r="C359" t="str">
            <v>IPS SANTA SOFIA DEL NORTE S.A.S.</v>
          </cell>
          <cell r="E359">
            <v>901821908</v>
          </cell>
          <cell r="F359">
            <v>3</v>
          </cell>
          <cell r="G359" t="str">
            <v>IPS SANTA SOFIA DEL NORTE S.A.S.</v>
          </cell>
          <cell r="H359" t="str">
            <v>Privada</v>
          </cell>
        </row>
        <row r="360">
          <cell r="B360">
            <v>7600116435</v>
          </cell>
          <cell r="C360" t="str">
            <v>IPS SERVICIOS INTEGRALES &amp; SALUD S.A.S.</v>
          </cell>
          <cell r="E360">
            <v>902003560</v>
          </cell>
          <cell r="F360">
            <v>9</v>
          </cell>
          <cell r="G360" t="str">
            <v>IPS SERVICIOS INTEGRALES &amp; SALUD S.A.S.</v>
          </cell>
          <cell r="H360" t="str">
            <v>Privada</v>
          </cell>
        </row>
        <row r="361">
          <cell r="B361">
            <v>7600115819</v>
          </cell>
          <cell r="C361" t="str">
            <v>IPS SPERANTA SAS</v>
          </cell>
          <cell r="E361">
            <v>901626697</v>
          </cell>
          <cell r="F361">
            <v>9</v>
          </cell>
          <cell r="G361" t="str">
            <v>IPS SPERANTA SAS</v>
          </cell>
          <cell r="H361" t="str">
            <v>Privada</v>
          </cell>
        </row>
        <row r="362">
          <cell r="B362">
            <v>7600115502</v>
          </cell>
          <cell r="C362" t="str">
            <v>IPS VACUNATE S.A.S</v>
          </cell>
          <cell r="E362">
            <v>901657616</v>
          </cell>
          <cell r="F362">
            <v>5</v>
          </cell>
          <cell r="G362" t="str">
            <v>IPS VACUNATE S.A.S</v>
          </cell>
          <cell r="H362" t="str">
            <v>Privada</v>
          </cell>
        </row>
        <row r="363">
          <cell r="B363">
            <v>7600111860</v>
          </cell>
          <cell r="C363" t="str">
            <v>JIMENO ASOCIADOS SAS</v>
          </cell>
          <cell r="E363">
            <v>900723361</v>
          </cell>
          <cell r="F363">
            <v>1</v>
          </cell>
          <cell r="G363" t="str">
            <v>JIMENO ASOCIADOS SAS</v>
          </cell>
          <cell r="H363" t="str">
            <v>Privada</v>
          </cell>
        </row>
        <row r="364">
          <cell r="B364">
            <v>7600113226</v>
          </cell>
          <cell r="C364" t="str">
            <v>Kaloni Colombia SAS</v>
          </cell>
          <cell r="E364">
            <v>900852763</v>
          </cell>
          <cell r="F364">
            <v>1</v>
          </cell>
          <cell r="G364" t="str">
            <v>Kaloni Colombia SAS</v>
          </cell>
          <cell r="H364" t="str">
            <v>Privada</v>
          </cell>
        </row>
        <row r="365">
          <cell r="B365">
            <v>7600116185</v>
          </cell>
          <cell r="C365" t="str">
            <v>KATIA HEALTH S.A.S.</v>
          </cell>
          <cell r="E365">
            <v>901866313</v>
          </cell>
          <cell r="F365">
            <v>5</v>
          </cell>
          <cell r="G365" t="str">
            <v>KATIA HEALTH S.A.S.</v>
          </cell>
          <cell r="H365" t="str">
            <v>Privada</v>
          </cell>
        </row>
        <row r="366">
          <cell r="B366">
            <v>7600107176</v>
          </cell>
          <cell r="C366" t="str">
            <v>KINESIS DOLOR Y REHABILITACION S.A.S</v>
          </cell>
          <cell r="E366">
            <v>830512203</v>
          </cell>
          <cell r="F366">
            <v>7</v>
          </cell>
          <cell r="G366" t="str">
            <v>KINESIS DOLOR Y REHABILITACION S.A.S</v>
          </cell>
          <cell r="H366" t="str">
            <v>Privada</v>
          </cell>
        </row>
        <row r="367">
          <cell r="B367">
            <v>7600115511</v>
          </cell>
          <cell r="C367" t="str">
            <v>KLINIKER CENTRO MEDICO</v>
          </cell>
          <cell r="E367">
            <v>901596154</v>
          </cell>
          <cell r="F367">
            <v>1</v>
          </cell>
          <cell r="G367" t="str">
            <v>KLINIKER CENTRO MEDICO</v>
          </cell>
          <cell r="H367" t="str">
            <v>Privada</v>
          </cell>
        </row>
        <row r="368">
          <cell r="B368">
            <v>7600115837</v>
          </cell>
          <cell r="C368" t="str">
            <v>KMB ODONTOLOGIA S.A.S</v>
          </cell>
          <cell r="E368">
            <v>901576582</v>
          </cell>
          <cell r="F368">
            <v>5</v>
          </cell>
          <cell r="G368" t="str">
            <v>KMB ODONTOLOGIA S.A.S</v>
          </cell>
          <cell r="H368" t="str">
            <v>Privada</v>
          </cell>
        </row>
        <row r="369">
          <cell r="B369">
            <v>7600116081</v>
          </cell>
          <cell r="C369" t="str">
            <v>KUTANEO S.A.S</v>
          </cell>
          <cell r="E369">
            <v>901899306</v>
          </cell>
          <cell r="F369">
            <v>5</v>
          </cell>
          <cell r="G369" t="str">
            <v>KUTANEO S.A.S</v>
          </cell>
          <cell r="H369" t="str">
            <v>Privada</v>
          </cell>
        </row>
        <row r="370">
          <cell r="B370">
            <v>7600104893</v>
          </cell>
          <cell r="C370" t="str">
            <v>LA OPTICA DEL NORTE S.A.S</v>
          </cell>
          <cell r="E370">
            <v>890307534</v>
          </cell>
          <cell r="F370">
            <v>1</v>
          </cell>
          <cell r="G370" t="str">
            <v>LA OPTICA DEL NORTE S.A.S</v>
          </cell>
          <cell r="H370" t="str">
            <v>Privada</v>
          </cell>
        </row>
        <row r="371">
          <cell r="B371">
            <v>7600105879</v>
          </cell>
          <cell r="C371" t="str">
            <v>LA OPTICA LIMITADA SEDE IMBANACO</v>
          </cell>
          <cell r="E371">
            <v>800168722</v>
          </cell>
          <cell r="F371">
            <v>3</v>
          </cell>
          <cell r="G371" t="str">
            <v>LA OPTICA LIMITADA SEDE IMBANACO</v>
          </cell>
          <cell r="H371" t="str">
            <v>Privada</v>
          </cell>
        </row>
        <row r="372">
          <cell r="B372">
            <v>7600108230</v>
          </cell>
          <cell r="C372" t="str">
            <v>LABORATORIO CLINICO ACACIAS IPS SAS</v>
          </cell>
          <cell r="E372">
            <v>900434749</v>
          </cell>
          <cell r="F372">
            <v>5</v>
          </cell>
          <cell r="G372" t="str">
            <v>LABORATORIO CLINICO ACACIAS IPS SAS</v>
          </cell>
          <cell r="H372" t="str">
            <v>Privada</v>
          </cell>
        </row>
        <row r="373">
          <cell r="B373">
            <v>7600110604</v>
          </cell>
          <cell r="C373" t="str">
            <v>Laboratorio Clinico Bios S.A.S</v>
          </cell>
          <cell r="E373">
            <v>900691622</v>
          </cell>
          <cell r="F373">
            <v>1</v>
          </cell>
          <cell r="G373" t="str">
            <v>Laboratorio Clinico Bios S.A.S</v>
          </cell>
          <cell r="H373" t="str">
            <v>Privada</v>
          </cell>
        </row>
        <row r="374">
          <cell r="B374">
            <v>7600115446</v>
          </cell>
          <cell r="C374" t="str">
            <v>LABORATORIO CLINICO COLMEDICOS IPS SAS</v>
          </cell>
          <cell r="E374">
            <v>800049104</v>
          </cell>
          <cell r="F374">
            <v>1</v>
          </cell>
          <cell r="G374" t="str">
            <v>LABORATORIO CLINICO COLMEDICOS IPS S.A.S - COLMEDICOS S.A.S</v>
          </cell>
          <cell r="H374" t="str">
            <v>Privada</v>
          </cell>
        </row>
        <row r="375">
          <cell r="B375">
            <v>7600100490</v>
          </cell>
          <cell r="C375" t="str">
            <v>LABORATORIO CLINICO DE CITOLOGIA Y PATOLOGIA S.A.S.</v>
          </cell>
          <cell r="E375">
            <v>890311431</v>
          </cell>
          <cell r="F375">
            <v>5</v>
          </cell>
          <cell r="G375" t="str">
            <v>LABORATORIO CLINICO DE CITOLOGIA Y PATOLOGIA S.A.S.</v>
          </cell>
          <cell r="H375" t="str">
            <v>Privada</v>
          </cell>
        </row>
        <row r="376">
          <cell r="B376">
            <v>7600115222</v>
          </cell>
          <cell r="C376" t="str">
            <v>LABORATORIO CLINICO DEL PACIFICO S.A.S.</v>
          </cell>
          <cell r="E376">
            <v>901589951</v>
          </cell>
          <cell r="F376">
            <v>6</v>
          </cell>
          <cell r="G376" t="str">
            <v>LABORATORIO CLINICO DEL PACIFICO S.A.S.</v>
          </cell>
          <cell r="H376" t="str">
            <v>Privada</v>
          </cell>
        </row>
        <row r="377">
          <cell r="B377">
            <v>7600115221</v>
          </cell>
          <cell r="C377" t="str">
            <v>Laboratorio Clinico Elizabeth Valencia SAS</v>
          </cell>
          <cell r="E377">
            <v>901461090</v>
          </cell>
          <cell r="F377">
            <v>9</v>
          </cell>
          <cell r="G377" t="str">
            <v>Laboratorio Clinico Elizabeth Valencia SAS</v>
          </cell>
          <cell r="H377" t="str">
            <v>Privada</v>
          </cell>
        </row>
        <row r="378">
          <cell r="B378">
            <v>7600107211</v>
          </cell>
          <cell r="C378" t="str">
            <v>LABORATORIO CLINICO ESPECIALIZADO NCG SAS</v>
          </cell>
          <cell r="E378">
            <v>900249465</v>
          </cell>
          <cell r="F378">
            <v>6</v>
          </cell>
          <cell r="G378" t="str">
            <v>LABORATORIO CLINICO ESPECIALIZADO NCG SAS</v>
          </cell>
          <cell r="H378" t="str">
            <v>Privada</v>
          </cell>
        </row>
        <row r="379">
          <cell r="B379">
            <v>7600105186</v>
          </cell>
          <cell r="C379" t="str">
            <v>Laboratorio Clìnico Òscar Collazos y Cìa</v>
          </cell>
          <cell r="E379">
            <v>800200522</v>
          </cell>
          <cell r="F379">
            <v>3</v>
          </cell>
          <cell r="G379" t="str">
            <v>Laboratorio Clìnico Òscar Collazos y Cìa</v>
          </cell>
          <cell r="H379" t="str">
            <v>Privada</v>
          </cell>
        </row>
        <row r="380">
          <cell r="B380">
            <v>7600107304</v>
          </cell>
          <cell r="C380" t="str">
            <v>LABORATORIO CLINICO SAN MARTIN JRA EU</v>
          </cell>
          <cell r="E380">
            <v>900251642</v>
          </cell>
          <cell r="F380">
            <v>1</v>
          </cell>
          <cell r="G380" t="str">
            <v>LABORATORIO CLINICO SAN MARTIN JRA EU</v>
          </cell>
          <cell r="H380" t="str">
            <v>Privada</v>
          </cell>
        </row>
        <row r="381">
          <cell r="B381">
            <v>7600115410</v>
          </cell>
          <cell r="C381" t="str">
            <v>LABORATORIO DE INVESTIGACION HORMONAL LIH SEDE CALI</v>
          </cell>
          <cell r="E381">
            <v>800075543</v>
          </cell>
          <cell r="F381">
            <v>1</v>
          </cell>
          <cell r="G381" t="str">
            <v>LABORATORIO DE INVESTIGACION HORMONAL LIH S.A.</v>
          </cell>
          <cell r="H381" t="str">
            <v>Privada</v>
          </cell>
        </row>
        <row r="382">
          <cell r="B382">
            <v>7600109839</v>
          </cell>
          <cell r="C382" t="str">
            <v>LABORATORIO LORENA VEJARANO SAS</v>
          </cell>
          <cell r="E382">
            <v>900435146</v>
          </cell>
          <cell r="F382">
            <v>9</v>
          </cell>
          <cell r="G382" t="str">
            <v>LABORATORIO LORENA VEJARANO SAS</v>
          </cell>
          <cell r="H382" t="str">
            <v>Privada</v>
          </cell>
        </row>
        <row r="383">
          <cell r="B383">
            <v>7600103416</v>
          </cell>
          <cell r="C383" t="str">
            <v>LABORATORIO MEDICO DR. GUILLERMO MONTES Y CIA S.A.S</v>
          </cell>
          <cell r="E383">
            <v>800177628</v>
          </cell>
          <cell r="F383">
            <v>7</v>
          </cell>
          <cell r="G383" t="str">
            <v>LABORATORIO MEDICO DR. GUILLERMO MONTES Y CIA S.A.S</v>
          </cell>
          <cell r="H383" t="str">
            <v>Privada</v>
          </cell>
        </row>
        <row r="384">
          <cell r="B384">
            <v>7600101391</v>
          </cell>
          <cell r="C384" t="str">
            <v>LABORATORIO MICROANALISIS INTEGRAL A. ESCOBAR CAMPO &amp; ASOCIADOS S.A.S</v>
          </cell>
          <cell r="E384">
            <v>800122543</v>
          </cell>
          <cell r="F384">
            <v>3</v>
          </cell>
          <cell r="G384" t="str">
            <v>LABORATORIO MICROANALISIS INTEGRAL A. ESCOBAR CAMPO &amp; ASOCIADOS S.A.S</v>
          </cell>
          <cell r="H384" t="str">
            <v>Privada</v>
          </cell>
        </row>
        <row r="385">
          <cell r="B385">
            <v>7600108814</v>
          </cell>
          <cell r="C385" t="str">
            <v>LAFAM S.A.S</v>
          </cell>
          <cell r="E385">
            <v>900407148</v>
          </cell>
          <cell r="F385">
            <v>4</v>
          </cell>
          <cell r="G385" t="str">
            <v>LAFAM S.A.S</v>
          </cell>
          <cell r="H385" t="str">
            <v>Privada</v>
          </cell>
        </row>
        <row r="386">
          <cell r="B386">
            <v>7600104726</v>
          </cell>
          <cell r="C386" t="str">
            <v>LASKIN S.A.</v>
          </cell>
          <cell r="E386">
            <v>805011901</v>
          </cell>
          <cell r="F386">
            <v>9</v>
          </cell>
          <cell r="G386" t="str">
            <v>LASKIN S.A.</v>
          </cell>
          <cell r="H386" t="str">
            <v>Privada</v>
          </cell>
        </row>
        <row r="387">
          <cell r="B387">
            <v>7600106844</v>
          </cell>
          <cell r="C387" t="str">
            <v>LATIDOS</v>
          </cell>
          <cell r="E387">
            <v>900136580</v>
          </cell>
          <cell r="F387">
            <v>1</v>
          </cell>
          <cell r="G387" t="str">
            <v>LATIDOS</v>
          </cell>
          <cell r="H387" t="str">
            <v>Privada</v>
          </cell>
        </row>
        <row r="388">
          <cell r="B388">
            <v>7600116420</v>
          </cell>
          <cell r="C388" t="str">
            <v>LÁUREL GROUP S.A.S.</v>
          </cell>
          <cell r="E388">
            <v>901975072</v>
          </cell>
          <cell r="F388">
            <v>2</v>
          </cell>
          <cell r="G388" t="str">
            <v>LÁUREL GROUP S.A.S.</v>
          </cell>
          <cell r="H388" t="str">
            <v>Privada</v>
          </cell>
        </row>
        <row r="389">
          <cell r="B389">
            <v>7600111679</v>
          </cell>
          <cell r="C389" t="str">
            <v>leplaztique s.a.s.</v>
          </cell>
          <cell r="E389">
            <v>901027210</v>
          </cell>
          <cell r="F389">
            <v>6</v>
          </cell>
          <cell r="G389" t="str">
            <v>LEPLAZTIQUE S.A.S</v>
          </cell>
          <cell r="H389" t="str">
            <v>Privada</v>
          </cell>
        </row>
        <row r="390">
          <cell r="B390">
            <v>7600108961</v>
          </cell>
          <cell r="C390" t="str">
            <v>Linfasalud SAS</v>
          </cell>
          <cell r="E390">
            <v>900578040</v>
          </cell>
          <cell r="F390">
            <v>0</v>
          </cell>
          <cell r="G390" t="str">
            <v>Linfasalud S.A.S</v>
          </cell>
          <cell r="H390" t="str">
            <v>Privada</v>
          </cell>
        </row>
        <row r="391">
          <cell r="B391">
            <v>7600106892</v>
          </cell>
          <cell r="C391" t="str">
            <v>LONGEVOS</v>
          </cell>
          <cell r="E391">
            <v>900194473</v>
          </cell>
          <cell r="F391">
            <v>7</v>
          </cell>
          <cell r="G391" t="str">
            <v>LONGEVOS</v>
          </cell>
          <cell r="H391" t="str">
            <v>Privada</v>
          </cell>
        </row>
        <row r="392">
          <cell r="B392">
            <v>7600115612</v>
          </cell>
          <cell r="C392" t="str">
            <v>LR MEDICINA LABORAL S.A.S</v>
          </cell>
          <cell r="E392">
            <v>901556289</v>
          </cell>
          <cell r="F392">
            <v>6</v>
          </cell>
          <cell r="G392" t="str">
            <v>LR MEDICINA LABORAL S.A.S</v>
          </cell>
          <cell r="H392" t="str">
            <v>Privada</v>
          </cell>
        </row>
        <row r="393">
          <cell r="B393">
            <v>7600106707</v>
          </cell>
          <cell r="C393" t="str">
            <v>LUXOTTICA OF COLOMBIA S.A.S</v>
          </cell>
          <cell r="E393">
            <v>900108281</v>
          </cell>
          <cell r="F393">
            <v>3</v>
          </cell>
          <cell r="G393" t="str">
            <v>LUXOTTICA OF COLOMBIA S.A.S</v>
          </cell>
          <cell r="H393" t="str">
            <v>Privada</v>
          </cell>
        </row>
        <row r="394">
          <cell r="B394">
            <v>7600115997</v>
          </cell>
          <cell r="C394" t="str">
            <v>LUXUR SMILES S.A.S</v>
          </cell>
          <cell r="E394">
            <v>901603803</v>
          </cell>
          <cell r="F394">
            <v>4</v>
          </cell>
          <cell r="G394" t="str">
            <v>LUXUR SMILES S.AS</v>
          </cell>
          <cell r="H394" t="str">
            <v>Privada</v>
          </cell>
        </row>
        <row r="395">
          <cell r="B395">
            <v>7600116003</v>
          </cell>
          <cell r="C395" t="str">
            <v>MACIZO MOUNTAIN COLOMBIAN SAS</v>
          </cell>
          <cell r="E395">
            <v>901220958</v>
          </cell>
          <cell r="F395">
            <v>2</v>
          </cell>
          <cell r="G395" t="str">
            <v>MACIZO MOUNTAIN COLOMBIAN S.A.S</v>
          </cell>
          <cell r="H395" t="str">
            <v>Privada</v>
          </cell>
        </row>
        <row r="396">
          <cell r="B396">
            <v>7600108055</v>
          </cell>
          <cell r="C396" t="str">
            <v>MANAGEMENT AND RISK CONTROL SAS- MARC SAS</v>
          </cell>
          <cell r="E396">
            <v>900345928</v>
          </cell>
          <cell r="F396">
            <v>5</v>
          </cell>
          <cell r="G396" t="str">
            <v>MANAGEMENT AND RISK CONTROL SAS- MARC SAS</v>
          </cell>
          <cell r="H396" t="str">
            <v>Privada</v>
          </cell>
        </row>
        <row r="397">
          <cell r="B397">
            <v>7600113134</v>
          </cell>
          <cell r="C397" t="str">
            <v>MANEGA ODONTOLOGÍA SAS</v>
          </cell>
          <cell r="E397">
            <v>901519864</v>
          </cell>
          <cell r="F397">
            <v>4</v>
          </cell>
          <cell r="G397" t="str">
            <v>MANEGA ODONTOLOGÍA SAS</v>
          </cell>
          <cell r="H397" t="str">
            <v>Privada</v>
          </cell>
        </row>
        <row r="398">
          <cell r="B398">
            <v>7600110757</v>
          </cell>
          <cell r="C398" t="str">
            <v>MAPLE RESPIRATORY IPS SAS</v>
          </cell>
          <cell r="E398">
            <v>900611961</v>
          </cell>
          <cell r="F398">
            <v>1</v>
          </cell>
          <cell r="G398" t="str">
            <v>MAPLE RESPIRATORY IPS SAS</v>
          </cell>
          <cell r="H398" t="str">
            <v>Privada</v>
          </cell>
        </row>
        <row r="399">
          <cell r="B399">
            <v>7600109619</v>
          </cell>
          <cell r="C399" t="str">
            <v>MARGARITA CORTES MARTINEZ DIAGNOSTICOS PATOLOGICOS SAS</v>
          </cell>
          <cell r="E399">
            <v>900734697</v>
          </cell>
          <cell r="F399">
            <v>8</v>
          </cell>
          <cell r="G399" t="str">
            <v>MARGARITA CORTES MARTINEZ DIAGNOSTICOS PATOLOGICOS SAS</v>
          </cell>
          <cell r="H399" t="str">
            <v>Privada</v>
          </cell>
        </row>
        <row r="400">
          <cell r="B400">
            <v>7600115345</v>
          </cell>
          <cell r="C400" t="str">
            <v>MEDFAM HEALTH CENTER S.A.S</v>
          </cell>
          <cell r="E400">
            <v>901619189</v>
          </cell>
          <cell r="F400">
            <v>1</v>
          </cell>
          <cell r="G400" t="str">
            <v>MEDFAM HEALTH CENTER S.A.S</v>
          </cell>
          <cell r="H400" t="str">
            <v>Privada</v>
          </cell>
        </row>
        <row r="401">
          <cell r="B401">
            <v>7600109594</v>
          </cell>
          <cell r="C401" t="str">
            <v>Medi Asistencia SA</v>
          </cell>
          <cell r="E401">
            <v>900114824</v>
          </cell>
          <cell r="F401">
            <v>7</v>
          </cell>
          <cell r="G401" t="str">
            <v>MEDIASISTENCIA S.A</v>
          </cell>
          <cell r="H401" t="str">
            <v>Privada</v>
          </cell>
        </row>
        <row r="402">
          <cell r="B402">
            <v>7600110326</v>
          </cell>
          <cell r="C402" t="str">
            <v>MEDI-ALTERNA COLOMBIA SAS</v>
          </cell>
          <cell r="E402">
            <v>900882604</v>
          </cell>
          <cell r="F402">
            <v>7</v>
          </cell>
          <cell r="G402" t="str">
            <v>MEDI-ALTERNA COLOMBIA SAS</v>
          </cell>
          <cell r="H402" t="str">
            <v>Privada</v>
          </cell>
        </row>
        <row r="403">
          <cell r="B403">
            <v>7600112301</v>
          </cell>
          <cell r="C403" t="str">
            <v>MEDIARTE MEDICAL CENTER S.A.S</v>
          </cell>
          <cell r="E403">
            <v>900749427</v>
          </cell>
          <cell r="F403">
            <v>1</v>
          </cell>
          <cell r="G403" t="str">
            <v>MEDIARTE MEDICAL CENTER SAS</v>
          </cell>
          <cell r="H403" t="str">
            <v>Privada</v>
          </cell>
        </row>
        <row r="404">
          <cell r="B404">
            <v>7600116119</v>
          </cell>
          <cell r="C404" t="str">
            <v>MEDICAL LUIMER IPS SAS</v>
          </cell>
          <cell r="E404">
            <v>901852977</v>
          </cell>
          <cell r="F404">
            <v>4</v>
          </cell>
          <cell r="G404" t="str">
            <v>MEDICAL LUIMER IPS SAS</v>
          </cell>
          <cell r="H404" t="str">
            <v>Privada</v>
          </cell>
        </row>
        <row r="405">
          <cell r="B405">
            <v>7600115748</v>
          </cell>
          <cell r="C405" t="str">
            <v>MEDICAL P-DROZ FLORENCIA S.A.S.</v>
          </cell>
          <cell r="E405">
            <v>900239302</v>
          </cell>
          <cell r="F405">
            <v>1</v>
          </cell>
          <cell r="G405" t="str">
            <v>MEDICAL P-DROZ FLORENCIA S.A.S.</v>
          </cell>
          <cell r="H405" t="str">
            <v>Privada</v>
          </cell>
        </row>
        <row r="406">
          <cell r="B406">
            <v>7600107181</v>
          </cell>
          <cell r="C406" t="str">
            <v>MEDICAL STETIC E.U.</v>
          </cell>
          <cell r="E406">
            <v>900248231</v>
          </cell>
          <cell r="F406">
            <v>5</v>
          </cell>
          <cell r="G406" t="str">
            <v>MEDICAL STETIC E.U.</v>
          </cell>
          <cell r="H406" t="str">
            <v>Privada</v>
          </cell>
        </row>
        <row r="407">
          <cell r="B407">
            <v>7600110677</v>
          </cell>
          <cell r="C407" t="str">
            <v>MEDICARE HOME SAS</v>
          </cell>
          <cell r="E407">
            <v>900972972</v>
          </cell>
          <cell r="F407">
            <v>9</v>
          </cell>
          <cell r="G407" t="str">
            <v>MEDICARE HOME SAS</v>
          </cell>
          <cell r="H407" t="str">
            <v>Privada</v>
          </cell>
        </row>
        <row r="408">
          <cell r="B408">
            <v>7600107378</v>
          </cell>
          <cell r="C408" t="str">
            <v>MEDICARTE S.A.S</v>
          </cell>
          <cell r="E408">
            <v>900219866</v>
          </cell>
          <cell r="F408">
            <v>8</v>
          </cell>
          <cell r="G408" t="str">
            <v>MEDICARTE S.A.S</v>
          </cell>
          <cell r="H408" t="str">
            <v>Privada</v>
          </cell>
        </row>
        <row r="409">
          <cell r="B409">
            <v>7600108060</v>
          </cell>
          <cell r="C409" t="str">
            <v>MEDICINA DOMICILIARIA DE COLOMBIA S.A.S.</v>
          </cell>
          <cell r="E409">
            <v>900348416</v>
          </cell>
          <cell r="F409">
            <v>1</v>
          </cell>
          <cell r="G409" t="str">
            <v>MEDICINA DOMICILIARIA DE COLOMBIA SAS</v>
          </cell>
          <cell r="H409" t="str">
            <v>Privada</v>
          </cell>
        </row>
        <row r="410">
          <cell r="B410">
            <v>7600106708</v>
          </cell>
          <cell r="C410" t="str">
            <v>MEDICINA INTEGRAL EN CASA COLOMBIA S.A.S.</v>
          </cell>
          <cell r="E410">
            <v>900169638</v>
          </cell>
          <cell r="F410">
            <v>1</v>
          </cell>
          <cell r="G410" t="str">
            <v>MEDICINA INTEGRAL EN CASA COLOMBIA S.A.S.</v>
          </cell>
          <cell r="H410" t="str">
            <v>Privada</v>
          </cell>
        </row>
        <row r="411">
          <cell r="B411">
            <v>7600111577</v>
          </cell>
          <cell r="C411" t="str">
            <v>MEDICINA Y TERAPIAS DOMICILIARIAS</v>
          </cell>
          <cell r="E411">
            <v>900826841</v>
          </cell>
          <cell r="F411">
            <v>8</v>
          </cell>
          <cell r="G411" t="str">
            <v>MEDICINA Y TERAPIAS DOMICILIARIAS S.A.S.</v>
          </cell>
          <cell r="H411" t="str">
            <v>Privada</v>
          </cell>
        </row>
        <row r="412">
          <cell r="B412">
            <v>7600111965</v>
          </cell>
          <cell r="C412" t="str">
            <v>MEDICOS ESPECIALISTAS EN SALUD OCUPACIONAL MEDISSCOP SAS</v>
          </cell>
          <cell r="E412">
            <v>900896434</v>
          </cell>
          <cell r="F412">
            <v>2</v>
          </cell>
          <cell r="G412" t="str">
            <v>Médicos Especialistas en Salud Ocupacional SAS</v>
          </cell>
          <cell r="H412" t="str">
            <v>Privada</v>
          </cell>
        </row>
        <row r="413">
          <cell r="B413">
            <v>7600112180</v>
          </cell>
          <cell r="C413" t="str">
            <v>MEDICOS ESPECIALISTAS UNIDOS SAS - MEDISUN SAS</v>
          </cell>
          <cell r="E413">
            <v>901218138</v>
          </cell>
          <cell r="F413">
            <v>3</v>
          </cell>
          <cell r="G413" t="str">
            <v>MEDICOS ESPECIALISTAS UNIDOS SAS - MEDISUN SAS</v>
          </cell>
          <cell r="H413" t="str">
            <v>Privada</v>
          </cell>
        </row>
        <row r="414">
          <cell r="B414">
            <v>7600116132</v>
          </cell>
          <cell r="C414" t="str">
            <v>MEDICOS INTEGRALES SAS</v>
          </cell>
          <cell r="E414">
            <v>901897814</v>
          </cell>
          <cell r="F414">
            <v>6</v>
          </cell>
          <cell r="G414" t="str">
            <v>MEDICOS INTEGRALES SAS</v>
          </cell>
          <cell r="H414" t="str">
            <v>Privada</v>
          </cell>
        </row>
        <row r="415">
          <cell r="B415">
            <v>7600112483</v>
          </cell>
          <cell r="C415" t="str">
            <v>MEDICUC IPS S.A.S.</v>
          </cell>
          <cell r="E415">
            <v>900204617</v>
          </cell>
          <cell r="F415">
            <v>5</v>
          </cell>
          <cell r="G415" t="str">
            <v>MEDICUC IPS S.A.S.</v>
          </cell>
          <cell r="H415" t="str">
            <v>Privada</v>
          </cell>
        </row>
        <row r="416">
          <cell r="B416">
            <v>7600112976</v>
          </cell>
          <cell r="C416" t="str">
            <v>MEDILIFE IPS SAS</v>
          </cell>
          <cell r="E416">
            <v>900532472</v>
          </cell>
          <cell r="F416">
            <v>0</v>
          </cell>
          <cell r="G416" t="str">
            <v>MEDILIFE IPS SAS</v>
          </cell>
          <cell r="H416" t="str">
            <v>Privada</v>
          </cell>
        </row>
        <row r="417">
          <cell r="B417">
            <v>7600107968</v>
          </cell>
          <cell r="C417" t="str">
            <v>MEDISAN CALI S.A.S</v>
          </cell>
          <cell r="E417">
            <v>900367282</v>
          </cell>
          <cell r="F417">
            <v>0</v>
          </cell>
          <cell r="G417" t="str">
            <v>MEDISAN CALI S.A.S</v>
          </cell>
          <cell r="H417" t="str">
            <v>Privada</v>
          </cell>
        </row>
        <row r="418">
          <cell r="B418">
            <v>7600107745</v>
          </cell>
          <cell r="C418" t="str">
            <v>MEDISIS S.A.S.</v>
          </cell>
          <cell r="E418">
            <v>830506902</v>
          </cell>
          <cell r="F418">
            <v>2</v>
          </cell>
          <cell r="G418" t="str">
            <v>MEDISIS S.A.S.</v>
          </cell>
          <cell r="H418" t="str">
            <v>Privada</v>
          </cell>
        </row>
        <row r="419">
          <cell r="B419">
            <v>7600106610</v>
          </cell>
          <cell r="C419" t="str">
            <v>MEJÍA JIMÉNEZ Y COMPAÑÍA SOCIEDAD ANONIMA SIMPLIFICADA</v>
          </cell>
          <cell r="E419">
            <v>805029458</v>
          </cell>
          <cell r="F419">
            <v>6</v>
          </cell>
          <cell r="G419" t="str">
            <v>MEJÍA JIMÉNEZ Y COMPAÑÍA SOCIEDAD ANONIMA SIMPLIFICADA</v>
          </cell>
          <cell r="H419" t="str">
            <v>Privada</v>
          </cell>
        </row>
        <row r="420">
          <cell r="B420">
            <v>7600109321</v>
          </cell>
          <cell r="C420" t="str">
            <v>MEJOR SALUD DEL VALLE IPS SAS</v>
          </cell>
          <cell r="E420">
            <v>900681146</v>
          </cell>
          <cell r="F420">
            <v>2</v>
          </cell>
          <cell r="G420" t="str">
            <v>MEJOR SALUD DEL VALLE IPS SAS</v>
          </cell>
          <cell r="H420" t="str">
            <v>Privada</v>
          </cell>
        </row>
        <row r="421">
          <cell r="B421">
            <v>7600107310</v>
          </cell>
          <cell r="C421" t="str">
            <v>MEJORAR EN CASA S.A.S.</v>
          </cell>
          <cell r="E421">
            <v>900263110</v>
          </cell>
          <cell r="F421">
            <v>5</v>
          </cell>
          <cell r="G421" t="str">
            <v>MEJORAR EN CASA S.A.S.</v>
          </cell>
          <cell r="H421" t="str">
            <v>Privada</v>
          </cell>
        </row>
        <row r="422">
          <cell r="B422">
            <v>7600106388</v>
          </cell>
          <cell r="C422" t="str">
            <v>MESSER COLOMBIA S.A.</v>
          </cell>
          <cell r="E422">
            <v>860005114</v>
          </cell>
          <cell r="F422">
            <v>4</v>
          </cell>
          <cell r="G422" t="str">
            <v>MESSER COLOMBIA S.A.</v>
          </cell>
          <cell r="H422" t="str">
            <v>Privada</v>
          </cell>
        </row>
        <row r="423">
          <cell r="B423">
            <v>7600106313</v>
          </cell>
          <cell r="C423" t="str">
            <v>MG MEDICAL GROUP SAS</v>
          </cell>
          <cell r="E423">
            <v>900088052</v>
          </cell>
          <cell r="F423">
            <v>6</v>
          </cell>
          <cell r="G423" t="str">
            <v>MG MEDICAL GROUP SAS</v>
          </cell>
          <cell r="H423" t="str">
            <v>Privada</v>
          </cell>
        </row>
        <row r="424">
          <cell r="B424">
            <v>7600111447</v>
          </cell>
          <cell r="C424" t="str">
            <v>MGC SALUD S.A.S</v>
          </cell>
          <cell r="E424">
            <v>901076692</v>
          </cell>
          <cell r="F424">
            <v>1</v>
          </cell>
          <cell r="G424" t="str">
            <v>MGC SALUD S.A.S</v>
          </cell>
          <cell r="H424" t="str">
            <v>Privada</v>
          </cell>
        </row>
        <row r="425">
          <cell r="B425">
            <v>7600111303</v>
          </cell>
          <cell r="C425" t="str">
            <v>MI LINDA SONRISA LA 44 S.A.S</v>
          </cell>
          <cell r="E425">
            <v>901081149</v>
          </cell>
          <cell r="F425">
            <v>3</v>
          </cell>
          <cell r="G425" t="str">
            <v>MI LINDA SONRISA LA 44 S.A.S.</v>
          </cell>
          <cell r="H425" t="str">
            <v>Privada</v>
          </cell>
        </row>
        <row r="426">
          <cell r="B426">
            <v>7600111886</v>
          </cell>
          <cell r="C426" t="str">
            <v>MIMENTE IPS SAS</v>
          </cell>
          <cell r="E426">
            <v>901180119</v>
          </cell>
          <cell r="F426">
            <v>7</v>
          </cell>
          <cell r="G426" t="str">
            <v>MiMente IPS S.A.S.</v>
          </cell>
          <cell r="H426" t="str">
            <v>Privada</v>
          </cell>
        </row>
        <row r="427">
          <cell r="B427">
            <v>7600115211</v>
          </cell>
          <cell r="C427" t="str">
            <v>Monserrat Medical Center SAS</v>
          </cell>
          <cell r="E427">
            <v>901205113</v>
          </cell>
          <cell r="F427">
            <v>3</v>
          </cell>
          <cell r="G427" t="str">
            <v>Monserrat Medical Center SAS</v>
          </cell>
          <cell r="H427" t="str">
            <v>Privada</v>
          </cell>
        </row>
        <row r="428">
          <cell r="B428">
            <v>7600109172</v>
          </cell>
          <cell r="C428" t="str">
            <v>Morado S.A.S.</v>
          </cell>
          <cell r="E428">
            <v>900335816</v>
          </cell>
          <cell r="F428">
            <v>6</v>
          </cell>
          <cell r="G428" t="str">
            <v>Morado S.A.S.</v>
          </cell>
          <cell r="H428" t="str">
            <v>Privada</v>
          </cell>
        </row>
        <row r="429">
          <cell r="B429">
            <v>7600106266</v>
          </cell>
          <cell r="C429" t="str">
            <v>MORENO REYES S.A.S</v>
          </cell>
          <cell r="E429">
            <v>900066661</v>
          </cell>
          <cell r="F429">
            <v>7</v>
          </cell>
          <cell r="G429" t="str">
            <v>MORENO REYES S.A.S</v>
          </cell>
          <cell r="H429" t="str">
            <v>Privada</v>
          </cell>
        </row>
        <row r="430">
          <cell r="B430">
            <v>7600116026</v>
          </cell>
          <cell r="C430" t="str">
            <v>MULTIHEALTH SAS</v>
          </cell>
          <cell r="E430">
            <v>900363849</v>
          </cell>
          <cell r="F430">
            <v>8</v>
          </cell>
          <cell r="G430" t="str">
            <v>MULTISONRISAS S.A.S</v>
          </cell>
          <cell r="H430" t="str">
            <v>Privada</v>
          </cell>
        </row>
        <row r="431">
          <cell r="B431">
            <v>7600110856</v>
          </cell>
          <cell r="C431" t="str">
            <v>MUNDO LATINOAMERICA S.A.S</v>
          </cell>
          <cell r="E431">
            <v>900983117</v>
          </cell>
          <cell r="F431">
            <v>5</v>
          </cell>
          <cell r="G431" t="str">
            <v>MUNDO LATINOAMERICA S.A.S</v>
          </cell>
          <cell r="H431" t="str">
            <v>Privada</v>
          </cell>
        </row>
        <row r="432">
          <cell r="B432">
            <v>7600110988</v>
          </cell>
          <cell r="C432" t="str">
            <v>MUTALIS SAS</v>
          </cell>
          <cell r="E432">
            <v>900482620</v>
          </cell>
          <cell r="F432">
            <v>9</v>
          </cell>
          <cell r="G432" t="str">
            <v>MUTALIS SAS</v>
          </cell>
          <cell r="H432" t="str">
            <v>Privada</v>
          </cell>
        </row>
        <row r="433">
          <cell r="B433">
            <v>7600109408</v>
          </cell>
          <cell r="C433" t="str">
            <v>NANCY HELP COLOMBIA SAS</v>
          </cell>
          <cell r="E433">
            <v>900719671</v>
          </cell>
          <cell r="F433">
            <v>4</v>
          </cell>
          <cell r="G433" t="str">
            <v>NANCY HELP COLOMBIA SAS</v>
          </cell>
          <cell r="H433" t="str">
            <v>Privada</v>
          </cell>
        </row>
        <row r="434">
          <cell r="B434">
            <v>7600116403</v>
          </cell>
          <cell r="C434" t="str">
            <v>NATURAL - MENTE PLUS SAS</v>
          </cell>
          <cell r="E434">
            <v>901499066</v>
          </cell>
          <cell r="F434">
            <v>6</v>
          </cell>
          <cell r="G434" t="str">
            <v>NATURAL - MENTE PLUS SAS</v>
          </cell>
          <cell r="H434" t="str">
            <v>Privada</v>
          </cell>
        </row>
        <row r="435">
          <cell r="B435">
            <v>7600111661</v>
          </cell>
          <cell r="C435" t="str">
            <v>NATURAL BODY CENTER LTDA</v>
          </cell>
          <cell r="E435">
            <v>830116823</v>
          </cell>
          <cell r="F435">
            <v>5</v>
          </cell>
          <cell r="G435" t="str">
            <v>NATURAL BODY CENTER LTDA</v>
          </cell>
          <cell r="H435" t="str">
            <v>Privada</v>
          </cell>
        </row>
        <row r="436">
          <cell r="B436">
            <v>7600113195</v>
          </cell>
          <cell r="C436" t="str">
            <v>NEOSALUD SAS</v>
          </cell>
          <cell r="E436">
            <v>901177664</v>
          </cell>
          <cell r="F436">
            <v>9</v>
          </cell>
          <cell r="G436" t="str">
            <v>NEO SALUD SAS</v>
          </cell>
          <cell r="H436" t="str">
            <v>Privada</v>
          </cell>
        </row>
        <row r="437">
          <cell r="B437">
            <v>7600111900</v>
          </cell>
          <cell r="C437" t="str">
            <v>NEURODIAGNOSTIKA SAS</v>
          </cell>
          <cell r="E437">
            <v>901170305</v>
          </cell>
          <cell r="F437">
            <v>8</v>
          </cell>
          <cell r="G437" t="str">
            <v>NEURODIAGNOSTIKA S.A.S</v>
          </cell>
          <cell r="H437" t="str">
            <v>Privada</v>
          </cell>
        </row>
        <row r="438">
          <cell r="B438">
            <v>7600100153</v>
          </cell>
          <cell r="C438" t="str">
            <v>NEUROFIC LTDA CENTRO NEUROFISIOLOGICA CLINICA</v>
          </cell>
          <cell r="E438">
            <v>800186901</v>
          </cell>
          <cell r="F438">
            <v>1</v>
          </cell>
          <cell r="G438" t="str">
            <v>NEUROFIC LTDA CENTRO NEUROFISIOLOGICA CLINICA</v>
          </cell>
          <cell r="H438" t="str">
            <v>Privada</v>
          </cell>
        </row>
        <row r="439">
          <cell r="B439">
            <v>7600116005</v>
          </cell>
          <cell r="C439" t="str">
            <v>NEUROLOGOS DEL VALLE S.A.S.</v>
          </cell>
          <cell r="E439">
            <v>901856901</v>
          </cell>
          <cell r="F439">
            <v>3</v>
          </cell>
          <cell r="G439" t="str">
            <v>NEUROLOGOS DEL VALLE S.A.S.</v>
          </cell>
          <cell r="H439" t="str">
            <v>Privada</v>
          </cell>
        </row>
        <row r="440">
          <cell r="B440">
            <v>7600115821</v>
          </cell>
          <cell r="C440" t="str">
            <v>NEURUM SAS</v>
          </cell>
          <cell r="E440">
            <v>900746052</v>
          </cell>
          <cell r="F440">
            <v>1</v>
          </cell>
          <cell r="G440" t="str">
            <v>NEURUM S.A.S</v>
          </cell>
          <cell r="H440" t="str">
            <v>Privada</v>
          </cell>
        </row>
        <row r="441">
          <cell r="B441">
            <v>7600110155</v>
          </cell>
          <cell r="C441" t="str">
            <v>NEW BIOLOGY S.A.S.</v>
          </cell>
          <cell r="E441">
            <v>900464195</v>
          </cell>
          <cell r="F441">
            <v>3</v>
          </cell>
          <cell r="G441" t="str">
            <v>NEW BIOLOGY S.A.S.</v>
          </cell>
          <cell r="H441" t="str">
            <v>Privada</v>
          </cell>
        </row>
        <row r="442">
          <cell r="B442">
            <v>7600115331</v>
          </cell>
          <cell r="C442" t="str">
            <v>North Success Development SAS</v>
          </cell>
          <cell r="E442">
            <v>901238841</v>
          </cell>
          <cell r="F442">
            <v>9</v>
          </cell>
          <cell r="G442" t="str">
            <v>North Success Development SAS</v>
          </cell>
          <cell r="H442" t="str">
            <v>Privada</v>
          </cell>
        </row>
        <row r="443">
          <cell r="B443">
            <v>7600107376</v>
          </cell>
          <cell r="C443" t="str">
            <v>OCCI-DENTAL CLINICA ODONTOLOGICA SAS IPS</v>
          </cell>
          <cell r="E443">
            <v>900272748</v>
          </cell>
          <cell r="F443">
            <v>1</v>
          </cell>
          <cell r="G443" t="str">
            <v>OCCI-DENTAL CLINICA ODONTOLOGICA SAS IPS</v>
          </cell>
          <cell r="H443" t="str">
            <v>Privada</v>
          </cell>
        </row>
        <row r="444">
          <cell r="B444">
            <v>7600105945</v>
          </cell>
          <cell r="C444" t="str">
            <v>OCCIDENTAL DE INVERSIONES MEDICO QUIRURGICAS S.A.</v>
          </cell>
          <cell r="E444">
            <v>805026250</v>
          </cell>
          <cell r="F444">
            <v>8</v>
          </cell>
          <cell r="G444" t="str">
            <v>OCCIDENTAL DE INVERSIONES MEDICO QUIRURGICAS S.A.</v>
          </cell>
          <cell r="H444" t="str">
            <v>Privada</v>
          </cell>
        </row>
        <row r="445">
          <cell r="B445">
            <v>7600112595</v>
          </cell>
          <cell r="C445" t="str">
            <v>OCCIDENTAL DE SALUD SAS</v>
          </cell>
          <cell r="E445">
            <v>901314126</v>
          </cell>
          <cell r="F445">
            <v>6</v>
          </cell>
          <cell r="G445" t="str">
            <v>occidental de salud s.a.s</v>
          </cell>
          <cell r="H445" t="str">
            <v>Privada</v>
          </cell>
        </row>
        <row r="446">
          <cell r="B446">
            <v>7600111557</v>
          </cell>
          <cell r="C446" t="str">
            <v>OCCUPATIONAL CENTER SAS</v>
          </cell>
          <cell r="E446">
            <v>901088989</v>
          </cell>
          <cell r="F446">
            <v>5</v>
          </cell>
          <cell r="G446" t="str">
            <v>OCCUPATIONAL CENTER SAS</v>
          </cell>
          <cell r="H446" t="str">
            <v>Privada</v>
          </cell>
        </row>
        <row r="447">
          <cell r="B447">
            <v>7600107656</v>
          </cell>
          <cell r="C447" t="str">
            <v>ODONTOIMAGEN DELVALLE S.A.S.</v>
          </cell>
          <cell r="E447">
            <v>900320592</v>
          </cell>
          <cell r="F447">
            <v>6</v>
          </cell>
          <cell r="G447" t="str">
            <v>ODONTOIMAGEN DEL VALLE S.A.S.</v>
          </cell>
          <cell r="H447" t="str">
            <v>Privada</v>
          </cell>
        </row>
        <row r="448">
          <cell r="B448">
            <v>7600115650</v>
          </cell>
          <cell r="C448" t="str">
            <v>ODONTOLOGIA CIUDAD JARDIN S.A.S</v>
          </cell>
          <cell r="E448">
            <v>901576133</v>
          </cell>
          <cell r="F448">
            <v>1</v>
          </cell>
          <cell r="G448" t="str">
            <v>ODONTOLOGIA CIUDAD JARDIN S.A.S</v>
          </cell>
          <cell r="H448" t="str">
            <v>Privada</v>
          </cell>
        </row>
        <row r="449">
          <cell r="B449">
            <v>7600107323</v>
          </cell>
          <cell r="C449" t="str">
            <v>ODONTOTRANS S.A.S</v>
          </cell>
          <cell r="E449">
            <v>900257333</v>
          </cell>
          <cell r="F449">
            <v>6</v>
          </cell>
          <cell r="G449" t="str">
            <v>ODONTOTRANS S.A.S</v>
          </cell>
          <cell r="H449" t="str">
            <v>Privada</v>
          </cell>
        </row>
        <row r="450">
          <cell r="B450">
            <v>7600101165</v>
          </cell>
          <cell r="C450" t="str">
            <v>ODONTOVALLE S.A.</v>
          </cell>
          <cell r="E450">
            <v>800174247</v>
          </cell>
          <cell r="F450">
            <v>0</v>
          </cell>
          <cell r="G450" t="str">
            <v>ODONTOVALLE S.A.</v>
          </cell>
          <cell r="H450" t="str">
            <v>Privada</v>
          </cell>
        </row>
        <row r="451">
          <cell r="B451">
            <v>7600107958</v>
          </cell>
          <cell r="C451" t="str">
            <v>ODONTOVIDA CENTRO ODONTOLOGICO GENERAL Y ESPECIALIZADO S.A.S.</v>
          </cell>
          <cell r="E451">
            <v>900341255</v>
          </cell>
          <cell r="F451">
            <v>9</v>
          </cell>
          <cell r="G451" t="str">
            <v>ODONTOVIDA CENTRO ODONTOLOGICO GENERAL Y ESPECIALIZADO S.A.S.</v>
          </cell>
          <cell r="H451" t="str">
            <v>Privada</v>
          </cell>
        </row>
        <row r="452">
          <cell r="B452">
            <v>7600106799</v>
          </cell>
          <cell r="C452" t="str">
            <v>OFTAL CENTER IPS LTDA</v>
          </cell>
          <cell r="E452">
            <v>830507375</v>
          </cell>
          <cell r="F452">
            <v>5</v>
          </cell>
          <cell r="G452" t="str">
            <v>OFTAL CENTER I.P.S. LTDA.</v>
          </cell>
          <cell r="H452" t="str">
            <v>Privada</v>
          </cell>
        </row>
        <row r="453">
          <cell r="B453">
            <v>7600112268</v>
          </cell>
          <cell r="C453" t="str">
            <v>OMNISALUD SA CALI</v>
          </cell>
          <cell r="E453">
            <v>811037385</v>
          </cell>
          <cell r="F453">
            <v>2</v>
          </cell>
          <cell r="G453" t="str">
            <v>ORGANIZACIÓN MÉDICO ODONTOLÓGICA NACIONAL INTEGRADA S.A / Sigla: OMNISALUD S.A</v>
          </cell>
          <cell r="H453" t="str">
            <v>Privada</v>
          </cell>
        </row>
        <row r="454">
          <cell r="B454">
            <v>7600109050</v>
          </cell>
          <cell r="C454" t="str">
            <v>ONCODERMA S.A.S.</v>
          </cell>
          <cell r="E454">
            <v>900585863</v>
          </cell>
          <cell r="F454">
            <v>4</v>
          </cell>
          <cell r="G454" t="str">
            <v>ONCODERMA S.A.S.</v>
          </cell>
          <cell r="H454" t="str">
            <v>Privada</v>
          </cell>
        </row>
        <row r="455">
          <cell r="B455">
            <v>7600108260</v>
          </cell>
          <cell r="C455" t="str">
            <v>OPORTUNIDAD DE VIDA SAS</v>
          </cell>
          <cell r="E455">
            <v>900438792</v>
          </cell>
          <cell r="F455">
            <v>0</v>
          </cell>
          <cell r="G455" t="str">
            <v>OPORTUNIDAD DE VIDA SAS</v>
          </cell>
          <cell r="H455" t="str">
            <v>Privada</v>
          </cell>
        </row>
        <row r="456">
          <cell r="B456">
            <v>7600101935</v>
          </cell>
          <cell r="C456" t="str">
            <v>OPTICA ALEMANA</v>
          </cell>
          <cell r="E456">
            <v>890300729</v>
          </cell>
          <cell r="F456">
            <v>7</v>
          </cell>
          <cell r="G456" t="str">
            <v>OPTICA ALEMANA</v>
          </cell>
          <cell r="H456" t="str">
            <v>Privada</v>
          </cell>
        </row>
        <row r="457">
          <cell r="B457">
            <v>7600104286</v>
          </cell>
          <cell r="C457" t="str">
            <v>OPTICA COLOMBIANA S.A.S</v>
          </cell>
          <cell r="E457">
            <v>860001449</v>
          </cell>
          <cell r="F457">
            <v>8</v>
          </cell>
          <cell r="G457" t="str">
            <v>OPTICA COLOMBIANA S.A.S</v>
          </cell>
          <cell r="H457" t="str">
            <v>Privada</v>
          </cell>
        </row>
        <row r="458">
          <cell r="B458">
            <v>7600108574</v>
          </cell>
          <cell r="C458" t="str">
            <v>OPTICA COLSANITAS SAS</v>
          </cell>
          <cell r="E458">
            <v>800185773</v>
          </cell>
          <cell r="F458">
            <v>0</v>
          </cell>
          <cell r="G458" t="str">
            <v>OPTICA COLSANITAS SAS</v>
          </cell>
          <cell r="H458" t="str">
            <v>Privada</v>
          </cell>
        </row>
        <row r="459">
          <cell r="B459">
            <v>7600107209</v>
          </cell>
          <cell r="C459" t="str">
            <v>optica ocampo eu</v>
          </cell>
          <cell r="E459">
            <v>900250123</v>
          </cell>
          <cell r="F459">
            <v>4</v>
          </cell>
          <cell r="G459" t="str">
            <v>optica ocampo eu</v>
          </cell>
          <cell r="H459" t="str">
            <v>Privada</v>
          </cell>
        </row>
        <row r="460">
          <cell r="B460">
            <v>7600107333</v>
          </cell>
          <cell r="C460" t="str">
            <v>OPTICA OFTALMICA CALI S.A.S.</v>
          </cell>
          <cell r="E460">
            <v>900263363</v>
          </cell>
          <cell r="F460">
            <v>1</v>
          </cell>
          <cell r="G460" t="str">
            <v>OPTICA OFTALMICA CALI S.A.S.</v>
          </cell>
          <cell r="H460" t="str">
            <v>Privada</v>
          </cell>
        </row>
        <row r="461">
          <cell r="B461">
            <v>7600103642</v>
          </cell>
          <cell r="C461" t="str">
            <v>OPTICA VALLE E.U.</v>
          </cell>
          <cell r="E461">
            <v>800219071</v>
          </cell>
          <cell r="F461">
            <v>7</v>
          </cell>
          <cell r="G461" t="str">
            <v>OPTICA VALLE E.U.</v>
          </cell>
          <cell r="H461" t="str">
            <v>Privada</v>
          </cell>
        </row>
        <row r="462">
          <cell r="B462">
            <v>7600115353</v>
          </cell>
          <cell r="C462" t="str">
            <v>ORREGO ODONTOLOGIA SAS</v>
          </cell>
          <cell r="E462">
            <v>901013605</v>
          </cell>
          <cell r="F462">
            <v>0</v>
          </cell>
          <cell r="G462" t="str">
            <v>ORREGO ODONTOLOGIA SAS</v>
          </cell>
          <cell r="H462" t="str">
            <v>Privada</v>
          </cell>
        </row>
        <row r="463">
          <cell r="B463">
            <v>7600107595</v>
          </cell>
          <cell r="C463" t="str">
            <v>ORTHOFAMI SONRIE EN FAMILIA LTDA</v>
          </cell>
          <cell r="E463">
            <v>900139992</v>
          </cell>
          <cell r="F463">
            <v>4</v>
          </cell>
          <cell r="G463" t="str">
            <v>ORTHOFAMI SONRIE EN FAMILIA LTDA</v>
          </cell>
          <cell r="H463" t="str">
            <v>Privada</v>
          </cell>
        </row>
        <row r="464">
          <cell r="B464">
            <v>7600107678</v>
          </cell>
          <cell r="C464" t="str">
            <v>ORTHOPLAN TODAVIA CON LOS DIENTES TORCIDOS CALI SAS</v>
          </cell>
          <cell r="E464">
            <v>900242909</v>
          </cell>
          <cell r="F464">
            <v>2</v>
          </cell>
          <cell r="G464" t="str">
            <v>ORTHOPLAN TODAVIA CON LOS DIENTES TORCIDOS PEREIRA SAS</v>
          </cell>
          <cell r="H464" t="str">
            <v>Privada</v>
          </cell>
        </row>
        <row r="465">
          <cell r="B465">
            <v>7600107098</v>
          </cell>
          <cell r="C465" t="str">
            <v>ORTHOX SERVICIOS MEDICOS SAS</v>
          </cell>
          <cell r="E465">
            <v>900135419</v>
          </cell>
          <cell r="F465">
            <v>7</v>
          </cell>
          <cell r="G465" t="str">
            <v>ORTHOX SERVICIOS MEDICOS SAS</v>
          </cell>
          <cell r="H465" t="str">
            <v>Privada</v>
          </cell>
        </row>
        <row r="466">
          <cell r="B466">
            <v>7600105267</v>
          </cell>
          <cell r="C466" t="str">
            <v>ORTOCLUB S.A.S</v>
          </cell>
          <cell r="E466">
            <v>805027553</v>
          </cell>
          <cell r="F466">
            <v>9</v>
          </cell>
          <cell r="G466" t="str">
            <v>ORTOCLUB S.A.S</v>
          </cell>
          <cell r="H466" t="str">
            <v>Privada</v>
          </cell>
        </row>
        <row r="467">
          <cell r="B467">
            <v>7600116281</v>
          </cell>
          <cell r="C467" t="str">
            <v>ORTOPEDICA SAN CARLOS CALI SAS</v>
          </cell>
          <cell r="E467">
            <v>901214181</v>
          </cell>
          <cell r="F467">
            <v>2</v>
          </cell>
          <cell r="G467" t="str">
            <v>ORTOPEDICA SAN CARLOS CALI SAS</v>
          </cell>
          <cell r="H467" t="str">
            <v>Privada</v>
          </cell>
        </row>
        <row r="468">
          <cell r="B468">
            <v>7600109013</v>
          </cell>
          <cell r="C468" t="str">
            <v>ORVA MEDICAL GROUP SAS</v>
          </cell>
          <cell r="E468">
            <v>900273895</v>
          </cell>
          <cell r="F468">
            <v>0</v>
          </cell>
          <cell r="G468" t="str">
            <v>ORVA MEDICAL GROUP SAS</v>
          </cell>
          <cell r="H468" t="str">
            <v>Privada</v>
          </cell>
        </row>
        <row r="469">
          <cell r="B469">
            <v>7600101344</v>
          </cell>
          <cell r="C469" t="str">
            <v>OTOLOGICO S.A.S.</v>
          </cell>
          <cell r="E469">
            <v>890329347</v>
          </cell>
          <cell r="F469">
            <v>3</v>
          </cell>
          <cell r="G469" t="str">
            <v>OTOLOGICO S.A.S.</v>
          </cell>
          <cell r="H469" t="str">
            <v>Privada</v>
          </cell>
        </row>
        <row r="470">
          <cell r="B470">
            <v>7600106926</v>
          </cell>
          <cell r="C470" t="str">
            <v>otorrinos y fonoaudiologos asociados ltda</v>
          </cell>
          <cell r="E470">
            <v>800048768</v>
          </cell>
          <cell r="F470">
            <v>7</v>
          </cell>
          <cell r="G470" t="str">
            <v>otorrinos y fonoaudiologos asociados ltda</v>
          </cell>
          <cell r="H470" t="str">
            <v>Privada</v>
          </cell>
        </row>
        <row r="471">
          <cell r="B471">
            <v>7600116386</v>
          </cell>
          <cell r="C471" t="str">
            <v>OUTSOURCING SALUD DE COLOMBIA S.A.S.</v>
          </cell>
          <cell r="E471">
            <v>900455462</v>
          </cell>
          <cell r="F471">
            <v>7</v>
          </cell>
          <cell r="G471" t="str">
            <v>OUTSOURCING SALUD DE COLOMBIA S.A.S.</v>
          </cell>
          <cell r="H471" t="str">
            <v>Privada</v>
          </cell>
        </row>
        <row r="472">
          <cell r="B472">
            <v>7600107517</v>
          </cell>
          <cell r="C472" t="str">
            <v>OXIGENO Y SALUD S.A.S.</v>
          </cell>
          <cell r="E472">
            <v>900296734</v>
          </cell>
          <cell r="F472">
            <v>2</v>
          </cell>
          <cell r="G472" t="str">
            <v>OXIGENO Y SALUD S.A.S.</v>
          </cell>
          <cell r="H472" t="str">
            <v>Privada</v>
          </cell>
        </row>
        <row r="473">
          <cell r="B473">
            <v>7600105910</v>
          </cell>
          <cell r="C473" t="str">
            <v>PLASTIKOS CIRUJANOS S.A.S.</v>
          </cell>
          <cell r="E473">
            <v>805029464</v>
          </cell>
          <cell r="F473">
            <v>0</v>
          </cell>
          <cell r="G473" t="str">
            <v>PLASTIKOS CIRUJANOS S.A.S.</v>
          </cell>
          <cell r="H473" t="str">
            <v>Privada</v>
          </cell>
        </row>
        <row r="474">
          <cell r="B474">
            <v>7600107005</v>
          </cell>
          <cell r="C474" t="str">
            <v>POLICLINICO Y LABORATORIO DIAGNOSTICO DEL SUR SAS</v>
          </cell>
          <cell r="E474">
            <v>900222753</v>
          </cell>
          <cell r="F474">
            <v>5</v>
          </cell>
          <cell r="G474" t="str">
            <v>POLICLINICO Y LABORATORIO DE DIAGNOSTICO DEL SUR E. U.</v>
          </cell>
          <cell r="H474" t="str">
            <v>Privada</v>
          </cell>
        </row>
        <row r="475">
          <cell r="B475">
            <v>7600106695</v>
          </cell>
          <cell r="C475" t="str">
            <v>PRANA SPA LTDA UNA FILOSOFIA DE VIDA</v>
          </cell>
          <cell r="E475">
            <v>830502728</v>
          </cell>
          <cell r="F475">
            <v>9</v>
          </cell>
          <cell r="G475" t="str">
            <v>PRANA SPA LTDA UNA FILOSOFIA DE VIDA</v>
          </cell>
          <cell r="H475" t="str">
            <v>Privada</v>
          </cell>
        </row>
        <row r="476">
          <cell r="B476">
            <v>7600110377</v>
          </cell>
          <cell r="C476" t="str">
            <v>PREVENIR INTEGRAL S.A.S</v>
          </cell>
          <cell r="E476">
            <v>900893773</v>
          </cell>
          <cell r="F476">
            <v>0</v>
          </cell>
          <cell r="G476" t="str">
            <v>PREVENIR INTEGRAL S.A.S</v>
          </cell>
          <cell r="H476" t="str">
            <v>Privada</v>
          </cell>
        </row>
        <row r="477">
          <cell r="B477">
            <v>7600110364</v>
          </cell>
          <cell r="C477" t="str">
            <v>PREVENIR PREVENCIÓN DE RIESGOS Y SALUD OCUPACIONAL ASESORES S.A.S. PREVENIR PLUS S.A.S.</v>
          </cell>
          <cell r="E477">
            <v>805003840</v>
          </cell>
          <cell r="F477">
            <v>4</v>
          </cell>
          <cell r="G477" t="str">
            <v>PREVENIR PREVENCIÓN DE RIESGOS Y SALUD OCUPACIONAL ASESORES S.A.S. PREVENIR PLUS S.A.S.</v>
          </cell>
          <cell r="H477" t="str">
            <v>Privada</v>
          </cell>
        </row>
        <row r="478">
          <cell r="B478">
            <v>7600111779</v>
          </cell>
          <cell r="C478" t="str">
            <v>PREVER SST S.A.S.</v>
          </cell>
          <cell r="E478">
            <v>901154429</v>
          </cell>
          <cell r="F478">
            <v>5</v>
          </cell>
          <cell r="G478" t="str">
            <v>PREVER SST S.A.S.</v>
          </cell>
          <cell r="H478" t="str">
            <v>Privada</v>
          </cell>
        </row>
        <row r="479">
          <cell r="B479">
            <v>7600109812</v>
          </cell>
          <cell r="C479" t="str">
            <v>PRISMA ODONTOLOGIA ESTETICA S.A.S</v>
          </cell>
          <cell r="E479">
            <v>900766699</v>
          </cell>
          <cell r="F479">
            <v>1</v>
          </cell>
          <cell r="G479" t="str">
            <v>PRISMA ODONTOLOGIA ESTETICA S.A.S</v>
          </cell>
          <cell r="H479" t="str">
            <v>Privada</v>
          </cell>
        </row>
        <row r="480">
          <cell r="B480">
            <v>7600115463</v>
          </cell>
          <cell r="C480" t="str">
            <v>PROAUDIO ANGELA MARIA LOPEZ S.A.S</v>
          </cell>
          <cell r="E480">
            <v>901574803</v>
          </cell>
          <cell r="F480">
            <v>9</v>
          </cell>
          <cell r="G480" t="str">
            <v>PROAUDIO ÁNGELA MARÍA LÓPEZ S.A.S.</v>
          </cell>
          <cell r="H480" t="str">
            <v>Privada</v>
          </cell>
        </row>
        <row r="481">
          <cell r="B481">
            <v>7600109208</v>
          </cell>
          <cell r="C481" t="str">
            <v>Produmedihos S.A.S.</v>
          </cell>
          <cell r="E481">
            <v>900439346</v>
          </cell>
          <cell r="F481">
            <v>3</v>
          </cell>
          <cell r="G481" t="str">
            <v>Produmedihos S.A.S.</v>
          </cell>
          <cell r="H481" t="str">
            <v>Privada</v>
          </cell>
        </row>
        <row r="482">
          <cell r="B482">
            <v>7600101200</v>
          </cell>
          <cell r="C482" t="str">
            <v>PROFIS S.A.S</v>
          </cell>
          <cell r="E482">
            <v>805005130</v>
          </cell>
          <cell r="F482">
            <v>2</v>
          </cell>
          <cell r="G482" t="str">
            <v>PROFIS S.A.S</v>
          </cell>
          <cell r="H482" t="str">
            <v>Privada</v>
          </cell>
        </row>
        <row r="483">
          <cell r="B483">
            <v>7600107806</v>
          </cell>
          <cell r="C483" t="str">
            <v>PROLIFE SERVICES S.A.S.</v>
          </cell>
          <cell r="E483">
            <v>900343200</v>
          </cell>
          <cell r="F483">
            <v>3</v>
          </cell>
          <cell r="G483" t="str">
            <v>PROLIFE SERVICES SAS</v>
          </cell>
          <cell r="H483" t="str">
            <v>Privada</v>
          </cell>
        </row>
        <row r="484">
          <cell r="B484">
            <v>7600109756</v>
          </cell>
          <cell r="C484" t="str">
            <v>Promosalud IPS T&amp;E S.A.S.</v>
          </cell>
          <cell r="E484">
            <v>900192459</v>
          </cell>
          <cell r="F484">
            <v>4</v>
          </cell>
          <cell r="G484" t="str">
            <v>Promosalud IPS T&amp;E S.A.S.</v>
          </cell>
          <cell r="H484" t="str">
            <v>Privada</v>
          </cell>
        </row>
        <row r="485">
          <cell r="B485">
            <v>7600106972</v>
          </cell>
          <cell r="C485" t="str">
            <v>PROMOVER SAS</v>
          </cell>
          <cell r="E485">
            <v>809002913</v>
          </cell>
          <cell r="F485">
            <v>3</v>
          </cell>
          <cell r="G485" t="str">
            <v>PROMOVER SAS</v>
          </cell>
          <cell r="H485" t="str">
            <v>Privada</v>
          </cell>
        </row>
        <row r="486">
          <cell r="B486">
            <v>7600111073</v>
          </cell>
          <cell r="C486" t="str">
            <v>PRONACER MEDICINA DIAGNOSTICA IPS SAS</v>
          </cell>
          <cell r="E486">
            <v>900578911</v>
          </cell>
          <cell r="F486">
            <v>0</v>
          </cell>
          <cell r="G486" t="str">
            <v>PRONACER MEDICINA DIAGNOSTICA IPS S.A.S.</v>
          </cell>
          <cell r="H486" t="str">
            <v>Privada</v>
          </cell>
        </row>
        <row r="487">
          <cell r="B487">
            <v>7600116244</v>
          </cell>
          <cell r="C487" t="str">
            <v>PROQ - SOLUCIONES Y ESPECIALISTAS QUIRURGICOS S.A.S.</v>
          </cell>
          <cell r="E487">
            <v>901678142</v>
          </cell>
          <cell r="F487">
            <v>6</v>
          </cell>
          <cell r="G487" t="str">
            <v>PROQ - SOLUCIONES Y ESPECIALISTAS QUIRURGICOS S.A.S.</v>
          </cell>
          <cell r="H487" t="str">
            <v>Privada</v>
          </cell>
        </row>
        <row r="488">
          <cell r="B488">
            <v>7600115737</v>
          </cell>
          <cell r="C488" t="str">
            <v>PROTELMED SAS</v>
          </cell>
          <cell r="E488">
            <v>901419326</v>
          </cell>
          <cell r="F488">
            <v>4</v>
          </cell>
          <cell r="G488" t="str">
            <v>PROTELMED SAS</v>
          </cell>
          <cell r="H488" t="str">
            <v>Privada</v>
          </cell>
        </row>
        <row r="489">
          <cell r="B489">
            <v>7600110276</v>
          </cell>
          <cell r="C489" t="str">
            <v>PROVIDA FARMACEUTICA SAS</v>
          </cell>
          <cell r="E489">
            <v>900550254</v>
          </cell>
          <cell r="F489">
            <v>8</v>
          </cell>
          <cell r="G489" t="str">
            <v>PROVIDA FARMACEUTICA SAS</v>
          </cell>
          <cell r="H489" t="str">
            <v>Privada</v>
          </cell>
        </row>
        <row r="490">
          <cell r="B490">
            <v>7600112495</v>
          </cell>
          <cell r="C490" t="str">
            <v>PROVIVIR DIAGNOSTICA S.A.S</v>
          </cell>
          <cell r="E490">
            <v>901162741</v>
          </cell>
          <cell r="F490">
            <v>2</v>
          </cell>
          <cell r="G490" t="str">
            <v>PROVIVIR DIAGNOSTICA S.A.S</v>
          </cell>
          <cell r="H490" t="str">
            <v>Privada</v>
          </cell>
        </row>
        <row r="491">
          <cell r="B491">
            <v>7600115904</v>
          </cell>
          <cell r="C491" t="str">
            <v>proworking construyendo bienestar laboral sas</v>
          </cell>
          <cell r="E491">
            <v>901784869</v>
          </cell>
          <cell r="F491">
            <v>5</v>
          </cell>
          <cell r="G491" t="str">
            <v>proworking construyendo bienestar laboral sas</v>
          </cell>
          <cell r="H491" t="str">
            <v>Privada</v>
          </cell>
        </row>
        <row r="492">
          <cell r="B492">
            <v>7600115937</v>
          </cell>
          <cell r="C492" t="str">
            <v>Proyectos &amp; inversiones en soluciones medicas SAS</v>
          </cell>
          <cell r="E492">
            <v>901513807</v>
          </cell>
          <cell r="F492">
            <v>7</v>
          </cell>
          <cell r="G492" t="str">
            <v>Proyectos &amp; inversiones en soluciones medicas SAS</v>
          </cell>
          <cell r="H492" t="str">
            <v>Privada</v>
          </cell>
        </row>
        <row r="493">
          <cell r="B493">
            <v>7600108589</v>
          </cell>
          <cell r="C493" t="str">
            <v>radio imagen andes sas</v>
          </cell>
          <cell r="E493">
            <v>900208716</v>
          </cell>
          <cell r="F493">
            <v>4</v>
          </cell>
          <cell r="G493" t="str">
            <v>radio imagen andes sas</v>
          </cell>
          <cell r="H493" t="str">
            <v>Privada</v>
          </cell>
        </row>
        <row r="494">
          <cell r="B494">
            <v>7600107140</v>
          </cell>
          <cell r="C494" t="str">
            <v>RADIOLOGIA ODONTOMAXILOFACIAL SOCIEDAD POR ACCIONES SIMPLIFICADA "RADOMAX S.A.S"</v>
          </cell>
          <cell r="E494">
            <v>900073713</v>
          </cell>
          <cell r="F494">
            <v>0</v>
          </cell>
          <cell r="G494" t="str">
            <v>RADIOLOGIA ODONTOMAXILOFACIAL SOCIEDAD POR ACCIONES SIMPLIFICADA "RADOMAX S.A.S"</v>
          </cell>
          <cell r="H494" t="str">
            <v>Privada</v>
          </cell>
        </row>
        <row r="495">
          <cell r="B495">
            <v>7600100044</v>
          </cell>
          <cell r="C495" t="str">
            <v>RAYOS X DE OCCIDENTE LIMITADA</v>
          </cell>
          <cell r="E495">
            <v>890315586</v>
          </cell>
          <cell r="F495">
            <v>6</v>
          </cell>
          <cell r="G495" t="str">
            <v>RAYOS X DE OCCIDENTE LIMITADA</v>
          </cell>
          <cell r="H495" t="str">
            <v>Privada</v>
          </cell>
        </row>
        <row r="496">
          <cell r="B496">
            <v>7600104613</v>
          </cell>
          <cell r="C496" t="str">
            <v>RAYOS X DEL VALLE S.A.S</v>
          </cell>
          <cell r="E496">
            <v>805000864</v>
          </cell>
          <cell r="F496">
            <v>7</v>
          </cell>
          <cell r="G496" t="str">
            <v>RAYOS X DEL VALLE S.A.S</v>
          </cell>
          <cell r="H496" t="str">
            <v>Privada</v>
          </cell>
        </row>
        <row r="497">
          <cell r="B497">
            <v>7600115617</v>
          </cell>
          <cell r="C497" t="str">
            <v>RECONOCIMIENTO MEDICO GENERAL SAS</v>
          </cell>
          <cell r="E497">
            <v>900532596</v>
          </cell>
          <cell r="F497">
            <v>5</v>
          </cell>
          <cell r="G497" t="str">
            <v>RECONOCIMIENTO MEDICO GENERAL S.A.S</v>
          </cell>
          <cell r="H497" t="str">
            <v>Privada</v>
          </cell>
        </row>
        <row r="498">
          <cell r="B498">
            <v>7600103959</v>
          </cell>
          <cell r="C498" t="str">
            <v>RED DE SALUD DE LADERA EMPRESA SOCIAL DEL ESTADO</v>
          </cell>
          <cell r="E498">
            <v>805027289</v>
          </cell>
          <cell r="F498">
            <v>9</v>
          </cell>
          <cell r="G498" t="str">
            <v>E.S.E. RED DE SALUD DE LADERA EMPRESA SOCIAL DEL ESTADO HOSPITAL CAÑAVERALEJO</v>
          </cell>
          <cell r="H498" t="str">
            <v>Pública</v>
          </cell>
        </row>
        <row r="499">
          <cell r="B499">
            <v>7600103956</v>
          </cell>
          <cell r="C499" t="str">
            <v>RED DE SALUD DEL NORTE EMPRESA SOCIAL DEL ESTADO</v>
          </cell>
          <cell r="E499">
            <v>805027287</v>
          </cell>
          <cell r="F499">
            <v>4</v>
          </cell>
          <cell r="G499" t="str">
            <v>E.S.E. RED DE SALUD DEL NORTE EMPRESA SOCIAL DEL ESTADO HOSPITAL JOAQUIN PAZ BORRERO</v>
          </cell>
          <cell r="H499" t="str">
            <v>Pública</v>
          </cell>
        </row>
        <row r="500">
          <cell r="B500">
            <v>7600103957</v>
          </cell>
          <cell r="C500" t="str">
            <v>RED DE SALUD DEL ORIENTE EMPRESA SOCIAL DEL ESTADO E.S.E</v>
          </cell>
          <cell r="E500">
            <v>805027337</v>
          </cell>
          <cell r="F500">
            <v>4</v>
          </cell>
          <cell r="G500" t="str">
            <v>RED DE SALUD DEL ORIENTE EMPRESA SOCIAL DEL ESTADO E.S.E</v>
          </cell>
          <cell r="H500" t="str">
            <v>Pública</v>
          </cell>
        </row>
        <row r="501">
          <cell r="B501">
            <v>7600102523</v>
          </cell>
          <cell r="C501" t="str">
            <v>RED DE SALUD DEL SURORIENTE ESE - HOSPITAL CARLOS CARMONA M.</v>
          </cell>
          <cell r="E501">
            <v>805027338</v>
          </cell>
          <cell r="F501">
            <v>1</v>
          </cell>
          <cell r="G501" t="str">
            <v>E.S.E. HOSPITAL CARLOS CARMONA MONTOYA IPS</v>
          </cell>
          <cell r="H501" t="str">
            <v>Pública</v>
          </cell>
        </row>
        <row r="502">
          <cell r="B502">
            <v>7600108098</v>
          </cell>
          <cell r="C502" t="str">
            <v>RED ORAL DR PULECIO S.A.S</v>
          </cell>
          <cell r="E502">
            <v>900390301</v>
          </cell>
          <cell r="F502">
            <v>9</v>
          </cell>
          <cell r="G502" t="str">
            <v>RED ORAL DR PULECIO S.A.S</v>
          </cell>
          <cell r="H502" t="str">
            <v>Privada</v>
          </cell>
        </row>
        <row r="503">
          <cell r="B503">
            <v>7600101817</v>
          </cell>
          <cell r="C503" t="str">
            <v>REHABILITAMOS SAS</v>
          </cell>
          <cell r="E503">
            <v>890320344</v>
          </cell>
          <cell r="F503">
            <v>0</v>
          </cell>
          <cell r="G503" t="str">
            <v>REHABILITAMOS SAS</v>
          </cell>
          <cell r="H503" t="str">
            <v>Privada</v>
          </cell>
        </row>
        <row r="504">
          <cell r="B504">
            <v>7600115568</v>
          </cell>
          <cell r="C504" t="str">
            <v>RESPIRA EN CASA S.A.S</v>
          </cell>
          <cell r="E504">
            <v>901553855</v>
          </cell>
          <cell r="F504">
            <v>1</v>
          </cell>
          <cell r="G504" t="str">
            <v>RESPIRA EN CASA S.A.S</v>
          </cell>
          <cell r="H504" t="str">
            <v>Privada</v>
          </cell>
        </row>
        <row r="505">
          <cell r="B505">
            <v>7600103229</v>
          </cell>
          <cell r="C505" t="str">
            <v>RIESGO CERO CONSULTORES SAS</v>
          </cell>
          <cell r="E505">
            <v>805003603</v>
          </cell>
          <cell r="F505">
            <v>5</v>
          </cell>
          <cell r="G505" t="str">
            <v>RIESGO CERO CONSULTORES SAS</v>
          </cell>
          <cell r="H505" t="str">
            <v>Privada</v>
          </cell>
        </row>
        <row r="506">
          <cell r="B506">
            <v>7600102915</v>
          </cell>
          <cell r="C506" t="str">
            <v>RIESGO DE FRACTURA S.A. CAYRE</v>
          </cell>
          <cell r="E506">
            <v>830027158</v>
          </cell>
          <cell r="F506">
            <v>3</v>
          </cell>
          <cell r="G506" t="str">
            <v>RIESGO DE FRACTURA S.A. CAYRE</v>
          </cell>
          <cell r="H506" t="str">
            <v>Privada</v>
          </cell>
        </row>
        <row r="507">
          <cell r="B507">
            <v>7600108409</v>
          </cell>
          <cell r="C507" t="str">
            <v>RIRE EL ARTE DE SONREIR SAS</v>
          </cell>
          <cell r="E507">
            <v>900471459</v>
          </cell>
          <cell r="F507">
            <v>1</v>
          </cell>
          <cell r="G507" t="str">
            <v>RIRE EL ARTE DE SONREIR SAS</v>
          </cell>
          <cell r="H507" t="str">
            <v>Privada</v>
          </cell>
        </row>
        <row r="508">
          <cell r="B508">
            <v>7600100729</v>
          </cell>
          <cell r="C508" t="str">
            <v>RTS S.A.S</v>
          </cell>
          <cell r="E508">
            <v>805011262</v>
          </cell>
          <cell r="F508">
            <v>0</v>
          </cell>
          <cell r="G508" t="str">
            <v>RTS S.A.S</v>
          </cell>
          <cell r="H508" t="str">
            <v>Privada</v>
          </cell>
        </row>
        <row r="509">
          <cell r="B509">
            <v>7600109122</v>
          </cell>
          <cell r="C509" t="str">
            <v>S.E.R Servicios de Especialistas en Rehabilitaciòn S.A.S</v>
          </cell>
          <cell r="E509">
            <v>900608214</v>
          </cell>
          <cell r="F509">
            <v>5</v>
          </cell>
          <cell r="G509" t="str">
            <v>S.E.R Servicios de Especialistas en Rehabilitaciòn S.A.S</v>
          </cell>
          <cell r="H509" t="str">
            <v>Privada</v>
          </cell>
        </row>
        <row r="510">
          <cell r="B510">
            <v>7600107727</v>
          </cell>
          <cell r="C510" t="str">
            <v>SALUD EN CASA MEDICOS SAS</v>
          </cell>
          <cell r="E510">
            <v>900338571</v>
          </cell>
          <cell r="F510">
            <v>0</v>
          </cell>
          <cell r="G510" t="str">
            <v>SALUD EN CASA MEDICOS SAS</v>
          </cell>
          <cell r="H510" t="str">
            <v>Privada</v>
          </cell>
        </row>
        <row r="511">
          <cell r="B511">
            <v>7600116415</v>
          </cell>
          <cell r="C511" t="str">
            <v>SALUD EN MOVIMIENTO S.A.S</v>
          </cell>
          <cell r="E511">
            <v>901835698</v>
          </cell>
          <cell r="F511">
            <v>2</v>
          </cell>
          <cell r="G511" t="str">
            <v>SALUD EN MOVIMIENTO S.A.S</v>
          </cell>
          <cell r="H511" t="str">
            <v>Privada</v>
          </cell>
        </row>
        <row r="512">
          <cell r="B512">
            <v>7600105108</v>
          </cell>
          <cell r="C512" t="str">
            <v>SALUD FAMILIAR S.A. I. P.S.</v>
          </cell>
          <cell r="E512">
            <v>802021430</v>
          </cell>
          <cell r="F512">
            <v>3</v>
          </cell>
          <cell r="G512" t="str">
            <v>SALUD FAMILIAR SA IPS</v>
          </cell>
          <cell r="H512" t="str">
            <v>Privada</v>
          </cell>
        </row>
        <row r="513">
          <cell r="B513">
            <v>7600115693</v>
          </cell>
          <cell r="C513" t="str">
            <v>Salud Horisoes IPS Sas</v>
          </cell>
          <cell r="E513">
            <v>901749264</v>
          </cell>
          <cell r="F513">
            <v>1</v>
          </cell>
          <cell r="G513" t="str">
            <v>SALUD HORISOES IPS S A S</v>
          </cell>
          <cell r="H513" t="str">
            <v>Privada</v>
          </cell>
        </row>
        <row r="514">
          <cell r="B514">
            <v>7600110473</v>
          </cell>
          <cell r="C514" t="str">
            <v>Salud Integra IPS</v>
          </cell>
          <cell r="E514">
            <v>900922290</v>
          </cell>
          <cell r="F514">
            <v>0</v>
          </cell>
          <cell r="G514" t="str">
            <v>Salud Integra IPS</v>
          </cell>
          <cell r="H514" t="str">
            <v>Privada</v>
          </cell>
        </row>
        <row r="515">
          <cell r="B515">
            <v>7600113144</v>
          </cell>
          <cell r="C515" t="str">
            <v>SALUD INTEGRAL GESTION Y PROYECTOS S.A.S</v>
          </cell>
          <cell r="E515">
            <v>901385903</v>
          </cell>
          <cell r="F515">
            <v>6</v>
          </cell>
          <cell r="G515" t="str">
            <v>SALUD INTEGRAL GESTION Y PROYECTOS S.A.S</v>
          </cell>
          <cell r="H515" t="str">
            <v>Privada</v>
          </cell>
        </row>
        <row r="516">
          <cell r="B516">
            <v>7600112735</v>
          </cell>
          <cell r="C516" t="str">
            <v>SALUD OCUPACIONAL DE LOS ANDES LTDA</v>
          </cell>
          <cell r="E516">
            <v>830029102</v>
          </cell>
          <cell r="F516">
            <v>0</v>
          </cell>
          <cell r="G516" t="str">
            <v>SALUD OCUPACIONAL DE LOS ANDES LIMITADA</v>
          </cell>
          <cell r="H516" t="str">
            <v>Privada</v>
          </cell>
        </row>
        <row r="517">
          <cell r="B517">
            <v>7600106573</v>
          </cell>
          <cell r="C517" t="str">
            <v>SALUD OCUPACIONAL SANITAS SAS</v>
          </cell>
          <cell r="E517">
            <v>830015429</v>
          </cell>
          <cell r="F517">
            <v>2</v>
          </cell>
          <cell r="G517" t="str">
            <v>SALUD OCUPACIONAL SANITAS SAS</v>
          </cell>
          <cell r="H517" t="str">
            <v>Privada</v>
          </cell>
        </row>
        <row r="518">
          <cell r="B518">
            <v>7600107187</v>
          </cell>
          <cell r="C518" t="str">
            <v>SALUD OCUPACIONAL Y MEDICINAS ALTERNATIVAS S.A.S.</v>
          </cell>
          <cell r="E518">
            <v>900250119</v>
          </cell>
          <cell r="F518">
            <v>4</v>
          </cell>
          <cell r="G518" t="str">
            <v>SALUD OCUPACIONAL Y MEDICINAS ALTERNATIVAS S.A.S.</v>
          </cell>
          <cell r="H518" t="str">
            <v>Privada</v>
          </cell>
        </row>
        <row r="519">
          <cell r="B519">
            <v>7600108075</v>
          </cell>
          <cell r="C519" t="str">
            <v>SALUD ORAL INTEGRAL S.A.S</v>
          </cell>
          <cell r="E519">
            <v>805029207</v>
          </cell>
          <cell r="F519">
            <v>4</v>
          </cell>
          <cell r="G519" t="str">
            <v>SALUD ORAL INTEGRAL S.A.S.</v>
          </cell>
          <cell r="H519" t="str">
            <v>Privada</v>
          </cell>
        </row>
        <row r="520">
          <cell r="B520">
            <v>7600110838</v>
          </cell>
          <cell r="C520" t="str">
            <v>SALUD P&amp;P SAS</v>
          </cell>
          <cell r="E520">
            <v>900466543</v>
          </cell>
          <cell r="F520">
            <v>2</v>
          </cell>
          <cell r="G520" t="str">
            <v>SALUD P&amp;P SAS</v>
          </cell>
          <cell r="H520" t="str">
            <v>Privada</v>
          </cell>
        </row>
        <row r="521">
          <cell r="B521">
            <v>7600115517</v>
          </cell>
          <cell r="C521" t="str">
            <v>SALUD VITALIA SAS</v>
          </cell>
          <cell r="E521">
            <v>901601329</v>
          </cell>
          <cell r="F521">
            <v>5</v>
          </cell>
          <cell r="G521" t="str">
            <v>SALUD VITALIA SAS</v>
          </cell>
          <cell r="H521" t="str">
            <v>Privada</v>
          </cell>
        </row>
        <row r="522">
          <cell r="B522">
            <v>7600115329</v>
          </cell>
          <cell r="C522" t="str">
            <v>SALUD Y COMUNIDAD SAS</v>
          </cell>
          <cell r="E522">
            <v>815000353</v>
          </cell>
          <cell r="F522">
            <v>1</v>
          </cell>
          <cell r="G522" t="str">
            <v>SALUDCOM SAS</v>
          </cell>
          <cell r="H522" t="str">
            <v>Privada</v>
          </cell>
        </row>
        <row r="523">
          <cell r="B523">
            <v>7600107552</v>
          </cell>
          <cell r="C523" t="str">
            <v>SAN JUAN HOME CARE S.A.S</v>
          </cell>
          <cell r="E523">
            <v>900305031</v>
          </cell>
          <cell r="F523">
            <v>3</v>
          </cell>
          <cell r="G523" t="str">
            <v>SAN JUAN HOME CARE S.A.S</v>
          </cell>
          <cell r="H523" t="str">
            <v>Privada</v>
          </cell>
        </row>
        <row r="524">
          <cell r="B524">
            <v>7600108309</v>
          </cell>
          <cell r="C524" t="str">
            <v>SAN RAFAEL CLINICA NATURISTA IPS SAS</v>
          </cell>
          <cell r="E524">
            <v>900447969</v>
          </cell>
          <cell r="F524">
            <v>5</v>
          </cell>
          <cell r="G524" t="str">
            <v>SAN RAFAEL CLINICA NATURISTA IPS SAS</v>
          </cell>
          <cell r="H524" t="str">
            <v>Privada</v>
          </cell>
        </row>
        <row r="525">
          <cell r="B525">
            <v>7600111086</v>
          </cell>
          <cell r="C525" t="str">
            <v>SAN ROQUE IPS SAS</v>
          </cell>
          <cell r="E525">
            <v>900771818</v>
          </cell>
          <cell r="F525">
            <v>1</v>
          </cell>
          <cell r="G525" t="str">
            <v>SAN ROQUE IPS SAS</v>
          </cell>
          <cell r="H525" t="str">
            <v>Privada</v>
          </cell>
        </row>
        <row r="526">
          <cell r="B526">
            <v>7600108662</v>
          </cell>
          <cell r="C526" t="str">
            <v>sanacion y vida ips s.a.s</v>
          </cell>
          <cell r="E526">
            <v>900517017</v>
          </cell>
          <cell r="F526">
            <v>1</v>
          </cell>
          <cell r="G526" t="str">
            <v>SANACION Y VIDA I.P.S S.A.S</v>
          </cell>
          <cell r="H526" t="str">
            <v>Privada</v>
          </cell>
        </row>
        <row r="527">
          <cell r="B527">
            <v>7600106468</v>
          </cell>
          <cell r="C527" t="str">
            <v>SENTIR FISIOTERAPIA AVANZADA LTDA</v>
          </cell>
          <cell r="E527">
            <v>900032539</v>
          </cell>
          <cell r="F527">
            <v>1</v>
          </cell>
          <cell r="G527" t="str">
            <v>SENTIR FISIOTERAPIA AVANZADA LTDA</v>
          </cell>
          <cell r="H527" t="str">
            <v>Privada</v>
          </cell>
        </row>
        <row r="528">
          <cell r="B528">
            <v>7600107197</v>
          </cell>
          <cell r="C528" t="str">
            <v>SEOUL MEDICINA ESTETICA INTEGRAL SPA S.A.</v>
          </cell>
          <cell r="E528">
            <v>900192072</v>
          </cell>
          <cell r="F528">
            <v>8</v>
          </cell>
          <cell r="G528" t="str">
            <v>SEOUL MEDICINA ESTETICA INTEGRAL Y SPA S.A</v>
          </cell>
          <cell r="H528" t="str">
            <v>Privada</v>
          </cell>
        </row>
        <row r="529">
          <cell r="B529">
            <v>7600107177</v>
          </cell>
          <cell r="C529" t="str">
            <v>SER OCUPACIONAL SAS</v>
          </cell>
          <cell r="E529">
            <v>900249562</v>
          </cell>
          <cell r="F529">
            <v>2</v>
          </cell>
          <cell r="G529" t="str">
            <v>SER OCUPACIONAL SAS</v>
          </cell>
          <cell r="H529" t="str">
            <v>Privada</v>
          </cell>
        </row>
        <row r="530">
          <cell r="B530">
            <v>7600115468</v>
          </cell>
          <cell r="C530" t="str">
            <v>SERENITY COMPANY IPS S.A.S.</v>
          </cell>
          <cell r="E530">
            <v>901596043</v>
          </cell>
          <cell r="F530">
            <v>2</v>
          </cell>
          <cell r="G530" t="str">
            <v>SERENITY COMPANY IPS S.A.S.</v>
          </cell>
          <cell r="H530" t="str">
            <v>Privada</v>
          </cell>
        </row>
        <row r="531">
          <cell r="B531">
            <v>7600101830</v>
          </cell>
          <cell r="C531" t="str">
            <v>SERSALUD S.A</v>
          </cell>
          <cell r="E531">
            <v>805025846</v>
          </cell>
          <cell r="F531">
            <v>2</v>
          </cell>
          <cell r="G531" t="str">
            <v>SERSALUD S.A</v>
          </cell>
          <cell r="H531" t="str">
            <v>Privada</v>
          </cell>
        </row>
        <row r="532">
          <cell r="B532">
            <v>7600112768</v>
          </cell>
          <cell r="C532" t="str">
            <v>SERVI SALUD VALLE IPS</v>
          </cell>
          <cell r="E532">
            <v>901119554</v>
          </cell>
          <cell r="F532">
            <v>1</v>
          </cell>
          <cell r="G532" t="str">
            <v>SERVI SALUD DEL CAUCA IPS SAS</v>
          </cell>
          <cell r="H532" t="str">
            <v>Privada</v>
          </cell>
        </row>
        <row r="533">
          <cell r="B533">
            <v>7600110184</v>
          </cell>
          <cell r="C533" t="str">
            <v>SERVICARE S.A.S.</v>
          </cell>
          <cell r="E533">
            <v>900743297</v>
          </cell>
          <cell r="F533">
            <v>3</v>
          </cell>
          <cell r="G533" t="str">
            <v>Servicare S.A.S.</v>
          </cell>
          <cell r="H533" t="str">
            <v>Privada</v>
          </cell>
        </row>
        <row r="534">
          <cell r="B534">
            <v>7600107452</v>
          </cell>
          <cell r="C534" t="str">
            <v>Servicio de Salud Inmediato IPS SAS</v>
          </cell>
          <cell r="E534">
            <v>900284365</v>
          </cell>
          <cell r="F534">
            <v>6</v>
          </cell>
          <cell r="G534" t="str">
            <v>Servicio de Salud Inmediato IPS SAS</v>
          </cell>
          <cell r="H534" t="str">
            <v>Privada</v>
          </cell>
        </row>
        <row r="535">
          <cell r="B535">
            <v>7600112622</v>
          </cell>
          <cell r="C535" t="str">
            <v>SERVICIO MEDICO LABORAL IPS S.A.S.</v>
          </cell>
          <cell r="E535">
            <v>901369929</v>
          </cell>
          <cell r="F535">
            <v>1</v>
          </cell>
          <cell r="G535" t="str">
            <v>SERVICIO MEDICO LABORAL IPS S.A.S.</v>
          </cell>
          <cell r="H535" t="str">
            <v>Privada</v>
          </cell>
        </row>
        <row r="536">
          <cell r="B536">
            <v>7600102534</v>
          </cell>
          <cell r="C536" t="str">
            <v>Servicios de Salud IPS Suramericana S.A.S</v>
          </cell>
          <cell r="E536">
            <v>811007832</v>
          </cell>
          <cell r="F536">
            <v>5</v>
          </cell>
          <cell r="G536" t="str">
            <v>Servicios de Salud IPS Suramericana S.A.S</v>
          </cell>
          <cell r="H536" t="str">
            <v>Privada</v>
          </cell>
        </row>
        <row r="537">
          <cell r="B537">
            <v>7600113182</v>
          </cell>
          <cell r="C537" t="str">
            <v>SERVICIOS ESPECIALIZADOS EN REPRODUCCION ASISTIDA SAS</v>
          </cell>
          <cell r="E537">
            <v>901610922</v>
          </cell>
          <cell r="F537">
            <v>1</v>
          </cell>
          <cell r="G537" t="str">
            <v>SERVICIOS ESPECIALIZADOS EN REPRODUCCION ASISTIDA SAS</v>
          </cell>
          <cell r="H537" t="str">
            <v>Privada</v>
          </cell>
        </row>
        <row r="538">
          <cell r="B538">
            <v>7600110268</v>
          </cell>
          <cell r="C538" t="str">
            <v>SERVICIOS INTEGRADOS DE MEDICINA ENFERMERIA Y REHABILITACION EN SALUD SAS</v>
          </cell>
          <cell r="E538">
            <v>900849652</v>
          </cell>
          <cell r="F538">
            <v>1</v>
          </cell>
          <cell r="G538" t="str">
            <v>SERVICIOS INTEGRADOS DE MEDICINA ENFERMERIA Y REHABILITACION EN SALUD S.A.S</v>
          </cell>
          <cell r="H538" t="str">
            <v>Privada</v>
          </cell>
        </row>
        <row r="539">
          <cell r="B539">
            <v>7600105414</v>
          </cell>
          <cell r="C539" t="str">
            <v>SERVICIOS INTEGRADOS DE SALUD S.A.S</v>
          </cell>
          <cell r="E539">
            <v>815005012</v>
          </cell>
          <cell r="F539">
            <v>8</v>
          </cell>
          <cell r="G539" t="str">
            <v>SERVICIOS INTEGRADOS DE SALUD S.A.S</v>
          </cell>
          <cell r="H539" t="str">
            <v>Privada</v>
          </cell>
        </row>
        <row r="540">
          <cell r="B540">
            <v>7600105817</v>
          </cell>
          <cell r="C540" t="str">
            <v>SERVIMEDIC QUIRON S.A.S.</v>
          </cell>
          <cell r="E540">
            <v>900014785</v>
          </cell>
          <cell r="F540">
            <v>9</v>
          </cell>
          <cell r="G540" t="str">
            <v>SERVIMEDIC QUIRON S.A.S.</v>
          </cell>
          <cell r="H540" t="str">
            <v>Privada</v>
          </cell>
        </row>
        <row r="541">
          <cell r="B541">
            <v>7600107442</v>
          </cell>
          <cell r="C541" t="str">
            <v>SIES SALUD CALI</v>
          </cell>
          <cell r="E541">
            <v>900123436</v>
          </cell>
          <cell r="F541">
            <v>0</v>
          </cell>
          <cell r="G541" t="str">
            <v>SOCIEDAD INTEGRAL DE ESPECIALISTAS EN SALUD S.A.S Sigla SIES SALUD S.A.S</v>
          </cell>
          <cell r="H541" t="str">
            <v>Privada</v>
          </cell>
        </row>
        <row r="542">
          <cell r="B542">
            <v>7600112623</v>
          </cell>
          <cell r="C542" t="str">
            <v>SIGMA MEDICAL CARE SAS</v>
          </cell>
          <cell r="E542">
            <v>901118652</v>
          </cell>
          <cell r="F542">
            <v>9</v>
          </cell>
          <cell r="G542" t="str">
            <v>SIGMA MEDICAL CARE SAS</v>
          </cell>
          <cell r="H542" t="str">
            <v>Privada</v>
          </cell>
        </row>
        <row r="543">
          <cell r="B543">
            <v>7600116189</v>
          </cell>
          <cell r="C543" t="str">
            <v>SIGVITAL IPS S.A.S.</v>
          </cell>
          <cell r="E543">
            <v>901919911</v>
          </cell>
          <cell r="F543">
            <v>9</v>
          </cell>
          <cell r="G543" t="str">
            <v>SIGVITAL IPS S.A.S.</v>
          </cell>
          <cell r="H543" t="str">
            <v>Privada</v>
          </cell>
        </row>
        <row r="544">
          <cell r="B544">
            <v>7600106938</v>
          </cell>
          <cell r="C544" t="str">
            <v>SISANAR S.A.</v>
          </cell>
          <cell r="E544">
            <v>900218460</v>
          </cell>
          <cell r="F544">
            <v>7</v>
          </cell>
          <cell r="G544" t="str">
            <v>SISANAR S.A.</v>
          </cell>
          <cell r="H544" t="str">
            <v>Privada</v>
          </cell>
        </row>
        <row r="545">
          <cell r="B545">
            <v>7600115746</v>
          </cell>
          <cell r="C545" t="str">
            <v>SL LATIN SURGERY CLINICA DE CIRUGIA PLASTICA SAS</v>
          </cell>
          <cell r="E545">
            <v>901421828</v>
          </cell>
          <cell r="F545">
            <v>6</v>
          </cell>
          <cell r="G545" t="str">
            <v>SL LATIN SURGERY CLINICA DE CIRUGIA PLASTICA SAS</v>
          </cell>
          <cell r="H545" t="str">
            <v>Privada</v>
          </cell>
        </row>
        <row r="546">
          <cell r="B546">
            <v>7600115414</v>
          </cell>
          <cell r="C546" t="str">
            <v>SMILE CO S.A.S.</v>
          </cell>
          <cell r="E546">
            <v>901458921</v>
          </cell>
          <cell r="F546">
            <v>3</v>
          </cell>
          <cell r="G546" t="str">
            <v>SMILE CO S.A.S</v>
          </cell>
          <cell r="H546" t="str">
            <v>Privada</v>
          </cell>
        </row>
        <row r="547">
          <cell r="B547">
            <v>7600102657</v>
          </cell>
          <cell r="C547" t="str">
            <v>SOCIEDAD N.S.D.R. S.A.S</v>
          </cell>
          <cell r="E547">
            <v>805023423</v>
          </cell>
          <cell r="F547">
            <v>1</v>
          </cell>
          <cell r="G547" t="str">
            <v>SOCIEDAD N.S.D.R. S.A.S</v>
          </cell>
          <cell r="H547" t="str">
            <v>Privada</v>
          </cell>
        </row>
        <row r="548">
          <cell r="B548">
            <v>7600116384</v>
          </cell>
          <cell r="C548" t="str">
            <v>SOLEZ CLINICA DENTAL S.A.S</v>
          </cell>
          <cell r="E548">
            <v>901991127</v>
          </cell>
          <cell r="F548">
            <v>6</v>
          </cell>
          <cell r="G548" t="str">
            <v>SOLEZ CLINICA DENTAL S.A.S</v>
          </cell>
          <cell r="H548" t="str">
            <v>Privada</v>
          </cell>
        </row>
        <row r="549">
          <cell r="B549">
            <v>7600109248</v>
          </cell>
          <cell r="C549" t="str">
            <v>SOLUCION INTEGRAL S.A.S</v>
          </cell>
          <cell r="E549">
            <v>900487568</v>
          </cell>
          <cell r="F549">
            <v>6</v>
          </cell>
          <cell r="G549" t="str">
            <v>SOLUCION INTEGRAL S.A.S</v>
          </cell>
          <cell r="H549" t="str">
            <v>Privada</v>
          </cell>
        </row>
        <row r="550">
          <cell r="B550">
            <v>7600105811</v>
          </cell>
          <cell r="C550" t="str">
            <v>SOLUCIONES DE ALTA TECNOLOGÍA VISUAL S.A.S.</v>
          </cell>
          <cell r="E550">
            <v>900022253</v>
          </cell>
          <cell r="F550">
            <v>6</v>
          </cell>
          <cell r="G550" t="str">
            <v>SOLUCIONES DE ALTA TECNOLOGÍA VISUAL S.A.S.</v>
          </cell>
          <cell r="H550" t="str">
            <v>Privada</v>
          </cell>
        </row>
        <row r="551">
          <cell r="B551">
            <v>7600107314</v>
          </cell>
          <cell r="C551" t="str">
            <v>SONRISA PERFECTA ODONTOLOGIA MEDICINAL ESTETICA LTDA</v>
          </cell>
          <cell r="E551">
            <v>900151510</v>
          </cell>
          <cell r="F551">
            <v>7</v>
          </cell>
          <cell r="G551" t="str">
            <v>SONRISA PERFECTA ODONTOLOGIA MEDICINA ESTETICA LTDA</v>
          </cell>
          <cell r="H551" t="str">
            <v>Privada</v>
          </cell>
        </row>
        <row r="552">
          <cell r="B552">
            <v>7600106915</v>
          </cell>
          <cell r="C552" t="str">
            <v>SOPORTE VITAL CALI S.A.S.</v>
          </cell>
          <cell r="E552">
            <v>900196862</v>
          </cell>
          <cell r="F552">
            <v>8</v>
          </cell>
          <cell r="G552" t="str">
            <v>SOPORTE VITAL CALI S.A.S.</v>
          </cell>
          <cell r="H552" t="str">
            <v>Privada</v>
          </cell>
        </row>
        <row r="553">
          <cell r="B553">
            <v>7600109869</v>
          </cell>
          <cell r="C553" t="str">
            <v>SOY SALUD Y VIDA CALI SAS</v>
          </cell>
          <cell r="E553">
            <v>900480420</v>
          </cell>
          <cell r="F553">
            <v>3</v>
          </cell>
          <cell r="G553" t="str">
            <v>SOY SALUD Y VIDA CALI SAS</v>
          </cell>
          <cell r="H553" t="str">
            <v>Privada</v>
          </cell>
        </row>
        <row r="554">
          <cell r="B554">
            <v>7600110877</v>
          </cell>
          <cell r="C554" t="str">
            <v>SPORTMEDS SAS.</v>
          </cell>
          <cell r="E554">
            <v>901002107</v>
          </cell>
          <cell r="F554">
            <v>7</v>
          </cell>
          <cell r="G554" t="str">
            <v>SPORTMEDS SAS.</v>
          </cell>
          <cell r="H554" t="str">
            <v>Privada</v>
          </cell>
        </row>
        <row r="555">
          <cell r="B555">
            <v>7600109062</v>
          </cell>
          <cell r="C555" t="str">
            <v>Starmedica</v>
          </cell>
          <cell r="E555">
            <v>900462329</v>
          </cell>
          <cell r="F555">
            <v>4</v>
          </cell>
          <cell r="G555" t="str">
            <v>STARMEDICA SAS</v>
          </cell>
          <cell r="H555" t="str">
            <v>Privada</v>
          </cell>
        </row>
        <row r="556">
          <cell r="B556">
            <v>7600115220</v>
          </cell>
          <cell r="C556" t="str">
            <v>STRATEGOS MEDICAL SOLUTIONS S.A.S.</v>
          </cell>
          <cell r="E556">
            <v>901361856</v>
          </cell>
          <cell r="F556">
            <v>4</v>
          </cell>
          <cell r="G556" t="str">
            <v>STRATEGOS MEDICAL SOLUTIONS S.A.S.</v>
          </cell>
          <cell r="H556" t="str">
            <v>Privada</v>
          </cell>
        </row>
        <row r="557">
          <cell r="B557">
            <v>7600115898</v>
          </cell>
          <cell r="C557" t="str">
            <v>SUR SALUD E-HEALTH SAS</v>
          </cell>
          <cell r="E557">
            <v>901340340</v>
          </cell>
          <cell r="F557">
            <v>6</v>
          </cell>
          <cell r="G557" t="str">
            <v>SUR SALUD E-HEALTH SAS</v>
          </cell>
          <cell r="H557" t="str">
            <v>Privada</v>
          </cell>
        </row>
        <row r="558">
          <cell r="B558">
            <v>7600116306</v>
          </cell>
          <cell r="C558" t="str">
            <v>SUSALUD MEDICAL SAS</v>
          </cell>
          <cell r="E558">
            <v>901839907</v>
          </cell>
          <cell r="F558">
            <v>5</v>
          </cell>
          <cell r="G558" t="str">
            <v>SUSALUD MEDICAL SAS</v>
          </cell>
          <cell r="H558" t="str">
            <v>Privada</v>
          </cell>
        </row>
        <row r="559">
          <cell r="B559">
            <v>7600115624</v>
          </cell>
          <cell r="C559" t="str">
            <v>SYNERGIA OCUPACIONAL S.A.S.</v>
          </cell>
          <cell r="E559">
            <v>901536337</v>
          </cell>
          <cell r="F559">
            <v>6</v>
          </cell>
          <cell r="G559" t="str">
            <v>SYNERGIA OCUPACIONAL S.A.S.</v>
          </cell>
          <cell r="H559" t="str">
            <v>Privada</v>
          </cell>
        </row>
        <row r="560">
          <cell r="B560">
            <v>7600112618</v>
          </cell>
          <cell r="C560" t="str">
            <v>SYNLAB LA FLORA CALI</v>
          </cell>
          <cell r="E560">
            <v>800087565</v>
          </cell>
          <cell r="F560">
            <v>5</v>
          </cell>
          <cell r="G560" t="str">
            <v>SYNLAB COLOMBIA S.A.S.</v>
          </cell>
          <cell r="H560" t="str">
            <v>Privada</v>
          </cell>
        </row>
        <row r="561">
          <cell r="B561">
            <v>7600113085</v>
          </cell>
          <cell r="C561" t="str">
            <v>SYSO CONSULTORES SAS</v>
          </cell>
          <cell r="E561">
            <v>900694940</v>
          </cell>
          <cell r="F561">
            <v>0</v>
          </cell>
          <cell r="G561" t="str">
            <v>SYSO CONSULTORES SAS</v>
          </cell>
          <cell r="H561" t="str">
            <v>Privada</v>
          </cell>
        </row>
        <row r="562">
          <cell r="B562">
            <v>7600109282</v>
          </cell>
          <cell r="C562" t="str">
            <v>TDX SAS</v>
          </cell>
          <cell r="E562">
            <v>900667065</v>
          </cell>
          <cell r="F562">
            <v>6</v>
          </cell>
          <cell r="G562" t="str">
            <v>TDX S.A.S MEDELLIN</v>
          </cell>
          <cell r="H562" t="str">
            <v>Privada</v>
          </cell>
        </row>
        <row r="563">
          <cell r="B563">
            <v>7600112792</v>
          </cell>
          <cell r="C563" t="str">
            <v>TE CUIDO EN CASA I.P.S. S.A.S</v>
          </cell>
          <cell r="E563">
            <v>900832008</v>
          </cell>
          <cell r="F563">
            <v>3</v>
          </cell>
          <cell r="G563" t="str">
            <v>TE CUIDO EN CASA I.P.S S.A.S</v>
          </cell>
          <cell r="H563" t="str">
            <v>Privada</v>
          </cell>
        </row>
        <row r="564">
          <cell r="B564">
            <v>7600115454</v>
          </cell>
          <cell r="C564" t="str">
            <v>TEAPOYAMOS IPS</v>
          </cell>
          <cell r="E564">
            <v>901546222</v>
          </cell>
          <cell r="F564">
            <v>0</v>
          </cell>
          <cell r="G564" t="str">
            <v>TEAPOYAMOS IPS SAS</v>
          </cell>
          <cell r="H564" t="str">
            <v>Privada</v>
          </cell>
        </row>
        <row r="565">
          <cell r="B565">
            <v>7600108760</v>
          </cell>
          <cell r="C565" t="str">
            <v>TECNIOPTICA PRINCIPAL S.A.S.</v>
          </cell>
          <cell r="E565">
            <v>900540381</v>
          </cell>
          <cell r="F565">
            <v>2</v>
          </cell>
          <cell r="G565" t="str">
            <v>TECNIOPTICA PRINCIPAL S.A.S.</v>
          </cell>
          <cell r="H565" t="str">
            <v>Privada</v>
          </cell>
        </row>
        <row r="566">
          <cell r="B566">
            <v>7600116283</v>
          </cell>
          <cell r="C566" t="str">
            <v>TEKER SALUD SAS</v>
          </cell>
          <cell r="E566">
            <v>901517623</v>
          </cell>
          <cell r="F566">
            <v>7</v>
          </cell>
          <cell r="G566" t="str">
            <v>TEKER SALUD SAS</v>
          </cell>
          <cell r="H566" t="str">
            <v>Privada</v>
          </cell>
        </row>
        <row r="567">
          <cell r="B567">
            <v>7600113199</v>
          </cell>
          <cell r="C567" t="str">
            <v>TIFFANY ESTHETIC GROUP IPS S.A.S</v>
          </cell>
          <cell r="E567">
            <v>901634870</v>
          </cell>
          <cell r="F567">
            <v>0</v>
          </cell>
          <cell r="G567" t="str">
            <v>TIFFANY ESTHETIC GROUP IPS S.A.S</v>
          </cell>
          <cell r="H567" t="str">
            <v>Privada</v>
          </cell>
        </row>
        <row r="568">
          <cell r="B568">
            <v>7600106688</v>
          </cell>
          <cell r="C568" t="str">
            <v>TODOMED S.A.S.</v>
          </cell>
          <cell r="E568">
            <v>815005074</v>
          </cell>
          <cell r="F568">
            <v>4</v>
          </cell>
          <cell r="G568" t="str">
            <v>TODOMED S.A.S.</v>
          </cell>
          <cell r="H568" t="str">
            <v>Privada</v>
          </cell>
        </row>
        <row r="569">
          <cell r="B569">
            <v>7600103734</v>
          </cell>
          <cell r="C569" t="str">
            <v>TRADISALUD S.A.S. # 1 (TRADICIONES EN SALUD S.A.S.)</v>
          </cell>
          <cell r="E569">
            <v>805024194</v>
          </cell>
          <cell r="F569">
            <v>4</v>
          </cell>
          <cell r="G569" t="str">
            <v>TRADISALUD S.A.S. # 1 (TRADICIONES EN SALUD S.A.S.)</v>
          </cell>
          <cell r="H569" t="str">
            <v>Privada</v>
          </cell>
        </row>
        <row r="570">
          <cell r="B570">
            <v>7600113213</v>
          </cell>
          <cell r="C570" t="str">
            <v>TU SALUD GLOBAL IPS</v>
          </cell>
          <cell r="E570">
            <v>901726392</v>
          </cell>
          <cell r="F570">
            <v>7</v>
          </cell>
          <cell r="G570" t="str">
            <v>TU SALUD GLOBAL IPS</v>
          </cell>
          <cell r="H570" t="str">
            <v>Privada</v>
          </cell>
        </row>
        <row r="571">
          <cell r="B571">
            <v>7600108277</v>
          </cell>
          <cell r="C571" t="str">
            <v>UNIDAD DE ESPECIALIDADES MEDICAS SAS</v>
          </cell>
          <cell r="E571">
            <v>900412421</v>
          </cell>
          <cell r="F571">
            <v>0</v>
          </cell>
          <cell r="G571" t="str">
            <v>UNIDAD DE ESPECIALIDADES MEDICAS SAS</v>
          </cell>
          <cell r="H571" t="str">
            <v>Privada</v>
          </cell>
        </row>
        <row r="572">
          <cell r="B572">
            <v>7600106560</v>
          </cell>
          <cell r="C572" t="str">
            <v>UNIDAD DE SALUD OCUPACIONAL S.A.S</v>
          </cell>
          <cell r="E572">
            <v>805002036</v>
          </cell>
          <cell r="F572">
            <v>4</v>
          </cell>
          <cell r="G572" t="str">
            <v>UNIDAD DE SALUD OCUPACIONAL S.A.S</v>
          </cell>
          <cell r="H572" t="str">
            <v>Privada</v>
          </cell>
        </row>
        <row r="573">
          <cell r="B573">
            <v>7600112100</v>
          </cell>
          <cell r="C573" t="str">
            <v>UNIDAD DIAGNOSTICA Y TRATAMIENTO MEDICO NACIONAL SAS</v>
          </cell>
          <cell r="E573">
            <v>901168460</v>
          </cell>
          <cell r="F573">
            <v>5</v>
          </cell>
          <cell r="G573" t="str">
            <v>UNIDAD DIAGNÓSTICA Y TRATAMIENTO MÉDICO NACIONAL SAS</v>
          </cell>
          <cell r="H573" t="str">
            <v>Privada</v>
          </cell>
        </row>
        <row r="574">
          <cell r="B574">
            <v>7600111610</v>
          </cell>
          <cell r="C574" t="str">
            <v>UNIDAD MEDICA DE TRAUMA DEL VALLE S.A.S</v>
          </cell>
          <cell r="E574">
            <v>901149757</v>
          </cell>
          <cell r="F574">
            <v>6</v>
          </cell>
          <cell r="G574" t="str">
            <v>UNIDAD MEDICA DE TRAUMA DEL VALLE S.A.S</v>
          </cell>
          <cell r="H574" t="str">
            <v>Privada</v>
          </cell>
        </row>
        <row r="575">
          <cell r="B575">
            <v>7600106882</v>
          </cell>
          <cell r="C575" t="str">
            <v>UNIDAD MEDICA INTEGRAL LER LTDA</v>
          </cell>
          <cell r="E575">
            <v>900208098</v>
          </cell>
          <cell r="F575">
            <v>0</v>
          </cell>
          <cell r="G575" t="str">
            <v>UNIDAD MEDICA INTEGRAL LER LTDA</v>
          </cell>
          <cell r="H575" t="str">
            <v>Privada</v>
          </cell>
        </row>
        <row r="576">
          <cell r="B576">
            <v>7600109249</v>
          </cell>
          <cell r="C576" t="str">
            <v>UNIDAD MEDICA INTEGRAL PARA EL DOLOR UNIDOLOR S.A.S. IPS</v>
          </cell>
          <cell r="E576">
            <v>900656292</v>
          </cell>
          <cell r="F576">
            <v>4</v>
          </cell>
          <cell r="G576" t="str">
            <v>UNIDAD MEDICA INTEGRAL PARA EL DOLOR UNIDOLOR S.A.S. IPS</v>
          </cell>
          <cell r="H576" t="str">
            <v>Privada</v>
          </cell>
        </row>
        <row r="577">
          <cell r="B577">
            <v>7600108175</v>
          </cell>
          <cell r="C577" t="str">
            <v>UNIDAD MEDICA Y DE DIAGNOSTICO S.A</v>
          </cell>
          <cell r="E577">
            <v>830001007</v>
          </cell>
          <cell r="F577">
            <v>7</v>
          </cell>
          <cell r="G577" t="str">
            <v>UNIDAD MEDICA Y DE DIAGNOSTICO S.A</v>
          </cell>
          <cell r="H577" t="str">
            <v>Privada</v>
          </cell>
        </row>
        <row r="578">
          <cell r="B578">
            <v>7600110506</v>
          </cell>
          <cell r="C578" t="str">
            <v>UNIDAD MEDICO QUIRURGICA SANTA CLARA IPS S.A.S</v>
          </cell>
          <cell r="E578">
            <v>900908245</v>
          </cell>
          <cell r="F578">
            <v>0</v>
          </cell>
          <cell r="G578" t="str">
            <v>UNIDAD MEDICO QUIRURGICA SANTA CLARA IPS S.A.S</v>
          </cell>
          <cell r="H578" t="str">
            <v>Privada</v>
          </cell>
        </row>
        <row r="579">
          <cell r="B579">
            <v>7600115851</v>
          </cell>
          <cell r="C579" t="str">
            <v>UNIDAD MEDICO QUIRÚRGICA Y DE REPRODUCCIÓN ASISTIDA AGOST+ SAS</v>
          </cell>
          <cell r="E579">
            <v>901626811</v>
          </cell>
          <cell r="F579">
            <v>2</v>
          </cell>
          <cell r="G579" t="str">
            <v>UNIDAD MEDICO QUIRURGICA Y DE REPRODUCCION ASISTIDA AGOST+ S.A.S.</v>
          </cell>
          <cell r="H579" t="str">
            <v>Privada</v>
          </cell>
        </row>
        <row r="580">
          <cell r="B580">
            <v>7600109892</v>
          </cell>
          <cell r="C580" t="str">
            <v>UNIDAD QUIRURGICA CALIDA SAS</v>
          </cell>
          <cell r="E580">
            <v>900753224</v>
          </cell>
          <cell r="F580">
            <v>9</v>
          </cell>
          <cell r="G580" t="str">
            <v>UNIDAD QUIRURGICA CALIDA SAS</v>
          </cell>
          <cell r="H580" t="str">
            <v>Privada</v>
          </cell>
        </row>
        <row r="581">
          <cell r="B581">
            <v>7600100917</v>
          </cell>
          <cell r="C581" t="str">
            <v>UNIDAD QUIRÚRGICA RAMÓN Y CAJAL LTDA</v>
          </cell>
          <cell r="E581">
            <v>800193618</v>
          </cell>
          <cell r="F581">
            <v>0</v>
          </cell>
          <cell r="G581" t="str">
            <v>UNIDAD QUIRÚRGICA RAMÓN Y CAJAL LTDA</v>
          </cell>
          <cell r="H581" t="str">
            <v>Privada</v>
          </cell>
        </row>
        <row r="582">
          <cell r="B582">
            <v>7600112978</v>
          </cell>
          <cell r="C582" t="str">
            <v>UNION DE IPS-"UNIPS SAS"</v>
          </cell>
          <cell r="E582">
            <v>901340076</v>
          </cell>
          <cell r="F582">
            <v>6</v>
          </cell>
          <cell r="G582" t="str">
            <v>UNION DE IPS-"UNIPS SAS"</v>
          </cell>
          <cell r="H582" t="str">
            <v>Privada</v>
          </cell>
        </row>
        <row r="583">
          <cell r="B583">
            <v>7600106383</v>
          </cell>
          <cell r="C583" t="str">
            <v>UNIVER PLUS</v>
          </cell>
          <cell r="E583">
            <v>900033752</v>
          </cell>
          <cell r="F583">
            <v>7</v>
          </cell>
          <cell r="G583" t="str">
            <v>UNIVER PLUS</v>
          </cell>
          <cell r="H583" t="str">
            <v>Privada</v>
          </cell>
        </row>
        <row r="584">
          <cell r="B584">
            <v>7600111168</v>
          </cell>
          <cell r="C584" t="str">
            <v>URGETRAUMA SAN FERNANDO S.A.S.</v>
          </cell>
          <cell r="E584">
            <v>901081281</v>
          </cell>
          <cell r="F584">
            <v>8</v>
          </cell>
          <cell r="G584" t="str">
            <v>URGETRAUMA SAN FERNANDO S.A.S.</v>
          </cell>
          <cell r="H584" t="str">
            <v>Privada</v>
          </cell>
        </row>
        <row r="585">
          <cell r="B585">
            <v>7600104628</v>
          </cell>
          <cell r="C585" t="str">
            <v>VACUNCENTER IPS S.A.S</v>
          </cell>
          <cell r="E585">
            <v>800200332</v>
          </cell>
          <cell r="F585">
            <v>0</v>
          </cell>
          <cell r="G585" t="str">
            <v>VACUNCENTER IPS S.A.S</v>
          </cell>
          <cell r="H585" t="str">
            <v>Privada</v>
          </cell>
        </row>
        <row r="586">
          <cell r="B586">
            <v>7600110963</v>
          </cell>
          <cell r="C586" t="str">
            <v>vacunsalud ips s.a.s</v>
          </cell>
          <cell r="E586">
            <v>901034868</v>
          </cell>
          <cell r="F586">
            <v>0</v>
          </cell>
          <cell r="G586" t="str">
            <v>BIPROTSALUD SAS</v>
          </cell>
          <cell r="H586" t="str">
            <v>Privada</v>
          </cell>
        </row>
        <row r="587">
          <cell r="B587">
            <v>7600116078</v>
          </cell>
          <cell r="C587" t="str">
            <v>VAE MEDICINA Y BIENESTAR INTEGRAL IPS SAS</v>
          </cell>
          <cell r="E587">
            <v>901494894</v>
          </cell>
          <cell r="F587">
            <v>5</v>
          </cell>
          <cell r="G587" t="str">
            <v>VAE MEDICINA Y BIENESTAR INTEGRAL IPS SAS</v>
          </cell>
          <cell r="H587" t="str">
            <v>Privada</v>
          </cell>
        </row>
        <row r="588">
          <cell r="B588">
            <v>7600111476</v>
          </cell>
          <cell r="C588" t="str">
            <v>VALENCIA GUZMAN A &amp; A SAS</v>
          </cell>
          <cell r="E588">
            <v>901132999</v>
          </cell>
          <cell r="F588">
            <v>7</v>
          </cell>
          <cell r="G588" t="str">
            <v>VALENCIA GUZMAN A &amp; A SAS</v>
          </cell>
          <cell r="H588" t="str">
            <v>Privada</v>
          </cell>
        </row>
        <row r="589">
          <cell r="B589">
            <v>7600115764</v>
          </cell>
          <cell r="C589" t="str">
            <v>VIDANTE IPS S.A.S.</v>
          </cell>
          <cell r="E589">
            <v>901615632</v>
          </cell>
          <cell r="F589">
            <v>3</v>
          </cell>
          <cell r="G589" t="str">
            <v>VIDANTE IPS S.A.S.</v>
          </cell>
          <cell r="H589" t="str">
            <v>Privada</v>
          </cell>
        </row>
        <row r="590">
          <cell r="B590">
            <v>7600112152</v>
          </cell>
          <cell r="C590" t="str">
            <v>VILLA DE DIOS CENTRO DE EXCELENCIA SAS</v>
          </cell>
          <cell r="E590">
            <v>901256646</v>
          </cell>
          <cell r="F590">
            <v>5</v>
          </cell>
          <cell r="G590" t="str">
            <v>VILLA DE DIOS CENTRO DE EXCELENCIA S.A.S</v>
          </cell>
          <cell r="H590" t="str">
            <v>Privada</v>
          </cell>
        </row>
        <row r="591">
          <cell r="B591">
            <v>7600109881</v>
          </cell>
          <cell r="C591" t="str">
            <v>VILLACOLOMBIA CENTRO MEDICO SAS</v>
          </cell>
          <cell r="E591">
            <v>900787773</v>
          </cell>
          <cell r="F591">
            <v>7</v>
          </cell>
          <cell r="G591" t="str">
            <v>VILLACOLOMBIA CENTRO MEDICO SAS</v>
          </cell>
          <cell r="H591" t="str">
            <v>Privada</v>
          </cell>
        </row>
        <row r="592">
          <cell r="B592">
            <v>7600113192</v>
          </cell>
          <cell r="C592" t="str">
            <v>VIP ÓPTICA Y FARMACIA S.A.S.</v>
          </cell>
          <cell r="E592">
            <v>901621774</v>
          </cell>
          <cell r="F592">
            <v>5</v>
          </cell>
          <cell r="G592" t="str">
            <v>VIP ÓPTICA Y FARMACIA S.A.S.</v>
          </cell>
          <cell r="H592" t="str">
            <v>Privada</v>
          </cell>
        </row>
        <row r="593">
          <cell r="B593">
            <v>7600110304</v>
          </cell>
          <cell r="C593" t="str">
            <v>VIRREY SOLIS IPS SA</v>
          </cell>
          <cell r="E593">
            <v>800003765</v>
          </cell>
          <cell r="F593">
            <v>1</v>
          </cell>
          <cell r="G593" t="str">
            <v>VIRREY SOLIS IPS SA</v>
          </cell>
          <cell r="H593" t="str">
            <v>Privada</v>
          </cell>
        </row>
        <row r="594">
          <cell r="B594">
            <v>7600112543</v>
          </cell>
          <cell r="C594" t="str">
            <v>VISAL RT S.A.S.</v>
          </cell>
          <cell r="E594">
            <v>901210787</v>
          </cell>
          <cell r="F594">
            <v>7</v>
          </cell>
          <cell r="G594" t="str">
            <v>VISAL RT S.A.S</v>
          </cell>
          <cell r="H594" t="str">
            <v>Privada</v>
          </cell>
        </row>
        <row r="595">
          <cell r="B595">
            <v>7600112307</v>
          </cell>
          <cell r="C595" t="str">
            <v>VITAL ATHLETIC LAB S.A.S.</v>
          </cell>
          <cell r="E595">
            <v>901301271</v>
          </cell>
          <cell r="F595">
            <v>1</v>
          </cell>
          <cell r="G595" t="str">
            <v>VITAL ATHLETIC LAB S.A.S.</v>
          </cell>
          <cell r="H595" t="str">
            <v>Privada</v>
          </cell>
        </row>
        <row r="596">
          <cell r="B596">
            <v>7600111098</v>
          </cell>
          <cell r="C596" t="str">
            <v>VITAL HEALTCARE VHC S.A.S.</v>
          </cell>
          <cell r="E596">
            <v>901006612</v>
          </cell>
          <cell r="F596">
            <v>3</v>
          </cell>
          <cell r="G596" t="str">
            <v>VITAL HEALTCARE VHC S.A.S.</v>
          </cell>
          <cell r="H596" t="str">
            <v>Privada</v>
          </cell>
        </row>
        <row r="597">
          <cell r="B597">
            <v>7600116271</v>
          </cell>
          <cell r="C597" t="str">
            <v>VITALLY SALUD IPS S.A.S</v>
          </cell>
          <cell r="E597">
            <v>901909120</v>
          </cell>
          <cell r="F597">
            <v>7</v>
          </cell>
          <cell r="G597" t="str">
            <v>VITALLY SALUD IPS S.A.S</v>
          </cell>
          <cell r="H597" t="str">
            <v>Privada</v>
          </cell>
        </row>
        <row r="598">
          <cell r="B598">
            <v>7600115398</v>
          </cell>
          <cell r="C598" t="str">
            <v>VITALTEL S.A.S</v>
          </cell>
          <cell r="E598">
            <v>901633486</v>
          </cell>
          <cell r="F598">
            <v>0</v>
          </cell>
          <cell r="G598" t="str">
            <v>VITALTEL S.A.S</v>
          </cell>
          <cell r="H598" t="str">
            <v>Privada</v>
          </cell>
        </row>
        <row r="599">
          <cell r="B599">
            <v>7600107049</v>
          </cell>
          <cell r="C599" t="str">
            <v>Viva 1A IPS SA</v>
          </cell>
          <cell r="E599">
            <v>900219120</v>
          </cell>
          <cell r="F599">
            <v>2</v>
          </cell>
          <cell r="G599" t="str">
            <v>VIVA 1A IPS SA</v>
          </cell>
          <cell r="H599" t="str">
            <v>Privada</v>
          </cell>
        </row>
        <row r="600">
          <cell r="B600">
            <v>7600116284</v>
          </cell>
          <cell r="C600" t="str">
            <v>VIVIR IPS S.A.S - CALI</v>
          </cell>
          <cell r="E600">
            <v>830017370</v>
          </cell>
          <cell r="F600">
            <v>6</v>
          </cell>
          <cell r="G600" t="str">
            <v>VIVIR IPS SAS</v>
          </cell>
          <cell r="H600" t="str">
            <v>Privada</v>
          </cell>
        </row>
        <row r="601">
          <cell r="B601">
            <v>7600116088</v>
          </cell>
          <cell r="C601" t="str">
            <v>WELLCARE SAS</v>
          </cell>
          <cell r="E601">
            <v>901901474</v>
          </cell>
          <cell r="F601">
            <v>2</v>
          </cell>
          <cell r="G601" t="str">
            <v>WELLCARE SAS</v>
          </cell>
          <cell r="H601" t="str">
            <v>Privada</v>
          </cell>
        </row>
        <row r="602">
          <cell r="B602">
            <v>7600115326</v>
          </cell>
          <cell r="C602" t="str">
            <v>WIZZ LIFE SAS</v>
          </cell>
          <cell r="E602">
            <v>901426625</v>
          </cell>
          <cell r="F602">
            <v>0</v>
          </cell>
          <cell r="G602" t="str">
            <v>WIZZ LIFE SAS</v>
          </cell>
          <cell r="H602" t="str">
            <v>Privada</v>
          </cell>
        </row>
        <row r="603">
          <cell r="B603">
            <v>7600107479</v>
          </cell>
          <cell r="C603" t="str">
            <v>wound clinic s.a.s.</v>
          </cell>
          <cell r="E603">
            <v>900280774</v>
          </cell>
          <cell r="F603">
            <v>7</v>
          </cell>
          <cell r="G603" t="str">
            <v>WOUND CLINIC S.A.S.</v>
          </cell>
          <cell r="H603" t="str">
            <v>Privada</v>
          </cell>
        </row>
        <row r="604">
          <cell r="B604">
            <v>7600113049</v>
          </cell>
          <cell r="C604" t="str">
            <v>ZEMLAB SAS</v>
          </cell>
          <cell r="E604">
            <v>901487076</v>
          </cell>
          <cell r="F604">
            <v>8</v>
          </cell>
          <cell r="G604" t="str">
            <v>zemlab sas</v>
          </cell>
          <cell r="H604" t="str">
            <v>Privada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ervicios  Cali febereo 2026"/>
    </sheetNames>
    <sheetDataSet>
      <sheetData sheetId="0">
        <row r="2">
          <cell r="B2">
            <v>7600100014</v>
          </cell>
          <cell r="C2" t="str">
            <v>06</v>
          </cell>
          <cell r="D2" t="str">
            <v>CENFIS TEQUENDAMA</v>
          </cell>
          <cell r="E2" t="str">
            <v>CALLE 5B #40-13</v>
          </cell>
          <cell r="F2">
            <v>800104272</v>
          </cell>
          <cell r="G2">
            <v>6</v>
          </cell>
          <cell r="H2" t="str">
            <v>Privada</v>
          </cell>
          <cell r="I2" t="str">
            <v>Consulta Externa</v>
          </cell>
          <cell r="J2" t="str">
            <v>MEDICINA FÍSICA Y REHABILITACIÓN</v>
          </cell>
          <cell r="K2" t="str">
            <v>SD</v>
          </cell>
          <cell r="L2" t="str">
            <v>SD</v>
          </cell>
          <cell r="M2" t="str">
            <v>SD</v>
          </cell>
          <cell r="N2" t="str">
            <v>SD</v>
          </cell>
          <cell r="O2" t="str">
            <v>SD</v>
          </cell>
          <cell r="P2" t="str">
            <v>SD</v>
          </cell>
          <cell r="Q2" t="str">
            <v>SD</v>
          </cell>
          <cell r="R2" t="str">
            <v>SD</v>
          </cell>
          <cell r="S2" t="str">
            <v>SD</v>
          </cell>
          <cell r="T2" t="str">
            <v>SD</v>
          </cell>
          <cell r="U2" t="str">
            <v>DHSS0480566</v>
          </cell>
          <cell r="V2" t="str">
            <v>10</v>
          </cell>
          <cell r="W2" t="str">
            <v>MEDIANA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icardo Alberto Arango Cardona" id="{F66CB9B4-95A7-42CD-879F-DF3173AC3353}" userId="S::rarango@javerianacali.edu.co::95d1bbe8-15d8-40b9-8742-3cd06c2b544a" providerId="AD"/>
  <person displayName="Juan Manuel Arias Gallego" id="{A04430D3-F284-B046-970B-ECA6B984886B}" userId="S::juanmanuelariasg@javerianacali.edu.co::38776218-efce-4d94-ad5c-0f2358ebd38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1.v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 /><Relationship Id="rId2" Type="http://schemas.openxmlformats.org/officeDocument/2006/relationships/vmlDrawing" Target="../drawings/vmlDrawing2.v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 /><Relationship Id="rId2" Type="http://schemas.openxmlformats.org/officeDocument/2006/relationships/vmlDrawing" Target="../drawings/vmlDrawing3.v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comments" Target="../comments5.xml" /><Relationship Id="rId2" Type="http://schemas.openxmlformats.org/officeDocument/2006/relationships/vmlDrawing" Target="../drawings/vmlDrawing4.v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comments" Target="../comments6.xml" /><Relationship Id="rId2" Type="http://schemas.openxmlformats.org/officeDocument/2006/relationships/vmlDrawing" Target="../drawings/vmlDrawing5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zoomScale="60" zoomScaleNormal="60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8.81428571428571" defaultRowHeight="14.5"/>
  <cols>
    <col min="1" max="1" width="27" customWidth="1"/>
    <col min="2" max="2" width="31" customWidth="1"/>
  </cols>
  <sheetData>
    <row r="1" spans="1:2" ht="34" customHeight="1">
      <c r="A1" s="1" t="s">
        <v>0</v>
      </c>
      <c r="B1" s="1" t="s">
        <v>1</v>
      </c>
    </row>
    <row r="2" spans="1:2" ht="14.5">
      <c r="A2" t="s">
        <v>2</v>
      </c>
      <c r="B2" t="s">
        <v>3</v>
      </c>
    </row>
    <row r="3" spans="1:2" ht="14.5">
      <c r="A3" t="s">
        <v>2</v>
      </c>
      <c r="B3" t="s">
        <v>4</v>
      </c>
    </row>
    <row r="4" spans="1:2" ht="14.5">
      <c r="A4" t="s">
        <v>2</v>
      </c>
      <c r="B4" t="s">
        <v>5</v>
      </c>
    </row>
    <row r="5" spans="1:2" ht="14.5">
      <c r="A5" t="s">
        <v>2</v>
      </c>
      <c r="B5" t="s">
        <v>6</v>
      </c>
    </row>
    <row r="6" spans="1:2" ht="14.5">
      <c r="A6" t="s">
        <v>7</v>
      </c>
      <c r="B6" t="s">
        <v>8</v>
      </c>
    </row>
    <row r="7" spans="1:2" ht="14.5">
      <c r="A7" t="s">
        <v>7</v>
      </c>
      <c r="B7" t="s">
        <v>9</v>
      </c>
    </row>
    <row r="8" spans="1:2" ht="14.5">
      <c r="A8" t="s">
        <v>7</v>
      </c>
      <c r="B8" t="s">
        <v>10</v>
      </c>
    </row>
    <row r="9" spans="1:2" ht="14.5">
      <c r="A9" t="s">
        <v>11</v>
      </c>
      <c r="B9" t="s">
        <v>12</v>
      </c>
    </row>
    <row r="10" spans="1:2" ht="14.5">
      <c r="A10" t="s">
        <v>11</v>
      </c>
      <c r="B10" t="s">
        <v>13</v>
      </c>
    </row>
    <row r="11" spans="1:2" ht="14.5">
      <c r="A11" t="s">
        <v>14</v>
      </c>
      <c r="B11" t="s">
        <v>15</v>
      </c>
    </row>
    <row r="12" spans="1:2" ht="14.5">
      <c r="A12" t="s">
        <v>14</v>
      </c>
      <c r="B12" t="s">
        <v>16</v>
      </c>
    </row>
    <row r="13" spans="1:2" ht="14.5">
      <c r="A13" t="s">
        <v>14</v>
      </c>
      <c r="B13" t="s">
        <v>17</v>
      </c>
    </row>
    <row r="14" spans="1:2" ht="14.5">
      <c r="A14" t="s">
        <v>18</v>
      </c>
      <c r="B14" t="s">
        <v>19</v>
      </c>
    </row>
    <row r="15" spans="1:2" ht="14.5">
      <c r="A15" t="s">
        <v>18</v>
      </c>
      <c r="B15" t="s">
        <v>20</v>
      </c>
    </row>
    <row r="16" spans="1:2" ht="14.5">
      <c r="A16" t="s">
        <v>21</v>
      </c>
      <c r="B16" t="s">
        <v>20</v>
      </c>
    </row>
    <row r="17" spans="1:2" ht="14.5">
      <c r="A17" t="s">
        <v>21</v>
      </c>
      <c r="B17" t="s">
        <v>22</v>
      </c>
    </row>
    <row r="18" spans="1:2" ht="14.5">
      <c r="A18" t="s">
        <v>21</v>
      </c>
      <c r="B18" t="s">
        <v>23</v>
      </c>
    </row>
    <row r="19" spans="1:2" ht="14.5">
      <c r="A19" t="s">
        <v>21</v>
      </c>
      <c r="B19" t="s">
        <v>24</v>
      </c>
    </row>
    <row r="20" spans="1:2" ht="14.5">
      <c r="A20" t="s">
        <v>21</v>
      </c>
      <c r="B20" t="s">
        <v>25</v>
      </c>
    </row>
    <row r="21" spans="1:2" ht="14.5">
      <c r="A21" t="s">
        <v>26</v>
      </c>
      <c r="B21" t="s">
        <v>20</v>
      </c>
    </row>
    <row r="22" spans="1:2" ht="14.5">
      <c r="A22" t="s">
        <v>26</v>
      </c>
      <c r="B22" t="s">
        <v>22</v>
      </c>
    </row>
    <row r="23" spans="1:2" ht="14.5">
      <c r="A23" t="s">
        <v>26</v>
      </c>
      <c r="B23" t="s">
        <v>23</v>
      </c>
    </row>
    <row r="24" spans="1:2" ht="14.5">
      <c r="A24" t="s">
        <v>26</v>
      </c>
      <c r="B24" t="s">
        <v>24</v>
      </c>
    </row>
    <row r="25" spans="1:2" ht="14.5">
      <c r="A25" t="s">
        <v>26</v>
      </c>
      <c r="B25" t="s">
        <v>25</v>
      </c>
    </row>
    <row r="26" spans="1:2" ht="14.5">
      <c r="A26" t="s">
        <v>27</v>
      </c>
      <c r="B26" t="s">
        <v>19</v>
      </c>
    </row>
    <row r="27" spans="1:2" ht="14.5">
      <c r="A27" t="s">
        <v>27</v>
      </c>
      <c r="B27" t="s">
        <v>20</v>
      </c>
    </row>
    <row r="28" spans="1:2" ht="14.5">
      <c r="A28" t="s">
        <v>27</v>
      </c>
      <c r="B28" t="s">
        <v>22</v>
      </c>
    </row>
    <row r="29" spans="1:2" ht="14.5">
      <c r="A29" t="s">
        <v>27</v>
      </c>
      <c r="B29" t="s">
        <v>23</v>
      </c>
    </row>
    <row r="30" spans="1:2" ht="14.5">
      <c r="A30" t="s">
        <v>27</v>
      </c>
      <c r="B30" t="s">
        <v>24</v>
      </c>
    </row>
    <row r="31" spans="1:2" ht="14.5">
      <c r="A31" t="s">
        <v>27</v>
      </c>
      <c r="B31" t="s">
        <v>25</v>
      </c>
    </row>
    <row r="32" spans="1:2" ht="14.5">
      <c r="A32" t="s">
        <v>28</v>
      </c>
      <c r="B32" t="s">
        <v>29</v>
      </c>
    </row>
    <row r="33" spans="1:2" ht="14.5">
      <c r="A33" t="s">
        <v>28</v>
      </c>
      <c r="B33" t="s">
        <v>30</v>
      </c>
    </row>
    <row r="34" spans="1:2" ht="14.5">
      <c r="A34" t="s">
        <v>28</v>
      </c>
      <c r="B34" t="s">
        <v>31</v>
      </c>
    </row>
    <row r="35" spans="1:2" ht="14.5">
      <c r="A35" t="s">
        <v>28</v>
      </c>
      <c r="B35" t="s">
        <v>32</v>
      </c>
    </row>
    <row r="36" spans="1:2" ht="14.5">
      <c r="A36" t="s">
        <v>33</v>
      </c>
      <c r="B36" t="s">
        <v>34</v>
      </c>
    </row>
    <row r="37" spans="1:2" ht="14.5">
      <c r="A37" t="s">
        <v>33</v>
      </c>
      <c r="B37" t="s">
        <v>35</v>
      </c>
    </row>
    <row r="38" spans="1:2" ht="14.5">
      <c r="A38" t="s">
        <v>33</v>
      </c>
      <c r="B38" t="s">
        <v>36</v>
      </c>
    </row>
    <row r="39" spans="1:2" ht="14.5">
      <c r="A39" t="s">
        <v>33</v>
      </c>
      <c r="B39" t="s">
        <v>37</v>
      </c>
    </row>
    <row r="40" spans="1:2" ht="14.5">
      <c r="A40" t="s">
        <v>38</v>
      </c>
      <c r="B40" t="s">
        <v>39</v>
      </c>
    </row>
    <row r="41" spans="1:2" ht="14.5">
      <c r="A41" t="s">
        <v>38</v>
      </c>
      <c r="B41" t="s">
        <v>40</v>
      </c>
    </row>
    <row r="42" spans="1:2" ht="14.5">
      <c r="A42" t="s">
        <v>38</v>
      </c>
      <c r="B42" t="s">
        <v>41</v>
      </c>
    </row>
    <row r="43" spans="1:2" ht="14.5">
      <c r="A43" t="s">
        <v>38</v>
      </c>
      <c r="B43" t="s">
        <v>42</v>
      </c>
    </row>
    <row r="44" spans="1:2" ht="14.5">
      <c r="A44" t="s">
        <v>38</v>
      </c>
      <c r="B44" t="s">
        <v>43</v>
      </c>
    </row>
    <row r="45" spans="1:2" ht="14.5">
      <c r="A45" t="s">
        <v>44</v>
      </c>
      <c r="B45" t="s">
        <v>45</v>
      </c>
    </row>
    <row r="46" spans="1:2" ht="14.5">
      <c r="A46" t="s">
        <v>44</v>
      </c>
      <c r="B46" t="s">
        <v>46</v>
      </c>
    </row>
    <row r="47" spans="1:2" ht="14.5">
      <c r="A47" t="s">
        <v>44</v>
      </c>
      <c r="B47" t="s">
        <v>47</v>
      </c>
    </row>
    <row r="48" spans="1:2" ht="14.5">
      <c r="A48" t="s">
        <v>44</v>
      </c>
      <c r="B48" t="s">
        <v>48</v>
      </c>
    </row>
    <row r="49" spans="1:2" ht="14.5">
      <c r="A49" t="s">
        <v>49</v>
      </c>
      <c r="B49" t="s">
        <v>15</v>
      </c>
    </row>
    <row r="50" spans="1:2" ht="14.5">
      <c r="A50" t="s">
        <v>49</v>
      </c>
      <c r="B50" t="s">
        <v>16</v>
      </c>
    </row>
    <row r="51" spans="1:2" ht="14.5">
      <c r="A51" t="s">
        <v>50</v>
      </c>
      <c r="B51" t="s">
        <v>51</v>
      </c>
    </row>
    <row r="52" spans="1:2" ht="14.5">
      <c r="A52" t="s">
        <v>50</v>
      </c>
      <c r="B52" t="s">
        <v>52</v>
      </c>
    </row>
    <row r="53" spans="1:2" ht="14.5">
      <c r="A53" t="s">
        <v>50</v>
      </c>
      <c r="B53" t="s">
        <v>53</v>
      </c>
    </row>
    <row r="54" spans="1:2" ht="14.5">
      <c r="A54" t="s">
        <v>54</v>
      </c>
      <c r="B54" t="s">
        <v>55</v>
      </c>
    </row>
    <row r="55" spans="1:2" ht="14.5">
      <c r="A55" t="s">
        <v>54</v>
      </c>
      <c r="B55" t="s">
        <v>56</v>
      </c>
    </row>
    <row r="56" spans="1:2" ht="14.5">
      <c r="A56" t="s">
        <v>54</v>
      </c>
      <c r="B56" t="s">
        <v>57</v>
      </c>
    </row>
    <row r="57" spans="1:2" ht="14.5">
      <c r="A57" t="s">
        <v>58</v>
      </c>
      <c r="B57" t="s">
        <v>59</v>
      </c>
    </row>
    <row r="58" spans="1:2" ht="14.5">
      <c r="A58" t="s">
        <v>58</v>
      </c>
      <c r="B58" t="s">
        <v>60</v>
      </c>
    </row>
  </sheetData>
  <sheetProtection/>
  <autoFilter ref="A1:B5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2"/>
  <sheetViews>
    <sheetView workbookViewId="0" topLeftCell="A1">
      <pane xSplit="2" ySplit="1" topLeftCell="C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C2" sqref="C2"/>
    </sheetView>
  </sheetViews>
  <sheetFormatPr defaultColWidth="8.81428571428571" defaultRowHeight="13"/>
  <cols>
    <col min="1" max="1" width="16" style="8" customWidth="1"/>
    <col min="2" max="2" width="31.4285714285714" style="9" customWidth="1"/>
    <col min="3" max="3" width="20.4285714285714" style="8" hidden="1" customWidth="1"/>
    <col min="4" max="4" width="22.5714285714286" style="8" hidden="1" customWidth="1"/>
    <col min="5" max="5" width="25.1428571428571" style="8" hidden="1" customWidth="1"/>
    <col min="6" max="6" width="27.5714285714286" style="8" hidden="1" customWidth="1"/>
    <col min="7" max="7" width="17.8571428571429" style="8" hidden="1" customWidth="1"/>
    <col min="8" max="8" width="34" style="8" hidden="1" customWidth="1"/>
    <col min="9" max="9" width="31.4285714285714" style="8" hidden="1" customWidth="1"/>
    <col min="10" max="10" width="24.4285714285714" style="8" hidden="1" customWidth="1"/>
    <col min="11" max="11" width="28.8571428571429" style="8" hidden="1" customWidth="1"/>
    <col min="12" max="12" width="25.8571428571429" style="8" hidden="1" customWidth="1"/>
    <col min="13" max="13" width="24.4285714285714" style="8" hidden="1" customWidth="1"/>
    <col min="14" max="14" width="26.8571428571429" style="8" hidden="1" customWidth="1"/>
    <col min="15" max="16" width="25.5714285714286" style="8" hidden="1" customWidth="1"/>
    <col min="17" max="17" width="29.2857142857143" style="8" hidden="1" customWidth="1"/>
    <col min="18" max="18" width="10.4285714285714" style="8" hidden="1" customWidth="1"/>
    <col min="19" max="19" width="22.1428571428571" style="8" hidden="1" customWidth="1"/>
    <col min="20" max="20" width="15" style="8" hidden="1" customWidth="1"/>
    <col min="21" max="21" width="13.8571428571429" style="8" hidden="1" customWidth="1"/>
    <col min="22" max="22" width="29.4285714285714" style="8" bestFit="1" customWidth="1"/>
    <col min="23" max="23" width="30.4285714285714" style="8" bestFit="1" customWidth="1"/>
    <col min="24" max="24" width="26.5714285714286" style="8" bestFit="1" customWidth="1"/>
    <col min="25" max="25" width="33.4285714285714" style="8" customWidth="1"/>
    <col min="26" max="26" width="32.1428571428571" style="8" bestFit="1" customWidth="1"/>
    <col min="27" max="16384" width="8.85714285714286" style="8"/>
  </cols>
  <sheetData>
    <row r="1" spans="1:26" ht="34" customHeight="1">
      <c r="A1" s="7" t="s">
        <v>61</v>
      </c>
      <c r="B1" s="7" t="s">
        <v>62</v>
      </c>
      <c r="C1" s="7" t="s">
        <v>2</v>
      </c>
      <c r="D1" s="7" t="s">
        <v>7</v>
      </c>
      <c r="E1" s="7" t="s">
        <v>63</v>
      </c>
      <c r="F1" s="7" t="s">
        <v>64</v>
      </c>
      <c r="G1" s="7" t="s">
        <v>14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175</v>
      </c>
      <c r="N1" s="7" t="s">
        <v>176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  <c r="T1" s="7" t="s">
        <v>75</v>
      </c>
      <c r="U1" s="7" t="s">
        <v>76</v>
      </c>
      <c r="V1" s="10" t="s">
        <v>77</v>
      </c>
      <c r="W1" s="10" t="s">
        <v>78</v>
      </c>
      <c r="X1" s="7" t="s">
        <v>79</v>
      </c>
      <c r="Y1" s="7" t="s">
        <v>80</v>
      </c>
      <c r="Z1" s="7" t="s">
        <v>81</v>
      </c>
    </row>
    <row r="2" spans="1:26" ht="13">
      <c r="A2" s="8">
        <v>7600103715</v>
      </c>
      <c r="B2" s="9" t="s">
        <v>140</v>
      </c>
      <c r="C2" s="8" t="str">
        <f>VLOOKUP(A2,'[1]Prestadores febrero 2026'!$B$2:$H$604,7,FALSE)</f>
        <v>Privada</v>
      </c>
      <c r="D2" s="8" t="str">
        <f>VLOOKUP(A2,'[2]Servicios  Cali febereo 2026'!$B$2:$W$2,22)</f>
        <v>MEDIANA</v>
      </c>
      <c r="E2" s="8" t="s">
        <v>13</v>
      </c>
      <c r="F2" s="8" t="s">
        <v>12</v>
      </c>
      <c r="G2" s="8" t="s">
        <v>17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227</v>
      </c>
      <c r="S2" s="8">
        <v>1</v>
      </c>
      <c r="T2" s="8">
        <v>23</v>
      </c>
      <c r="U2" s="8">
        <v>9</v>
      </c>
      <c r="V2" s="8">
        <v>7</v>
      </c>
      <c r="W2" s="8">
        <v>4</v>
      </c>
      <c r="X2" s="8">
        <v>2</v>
      </c>
      <c r="Y2" s="8" t="s">
        <v>179</v>
      </c>
      <c r="Z2" s="11">
        <v>46143</v>
      </c>
    </row>
    <row r="3" spans="1:26" ht="13">
      <c r="A3" s="8" t="s">
        <v>171</v>
      </c>
      <c r="B3" s="9" t="s">
        <v>141</v>
      </c>
      <c r="C3" s="8" t="s">
        <v>174</v>
      </c>
      <c r="D3" s="8" t="s">
        <v>10</v>
      </c>
      <c r="E3" s="8" t="s">
        <v>13</v>
      </c>
      <c r="F3" s="8" t="s">
        <v>12</v>
      </c>
      <c r="G3" s="8" t="s">
        <v>16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S3" s="8">
        <v>31</v>
      </c>
      <c r="V3" s="8">
        <v>15</v>
      </c>
      <c r="W3" s="8">
        <v>4</v>
      </c>
      <c r="X3" s="8">
        <v>4</v>
      </c>
      <c r="Z3" s="11">
        <v>46143</v>
      </c>
    </row>
    <row r="4" spans="1:26" ht="26">
      <c r="A4" s="8">
        <v>7600102541</v>
      </c>
      <c r="B4" s="9" t="s">
        <v>142</v>
      </c>
      <c r="C4" s="8" t="str">
        <f>VLOOKUP(A4,'[1]Prestadores febrero 2026'!$B$2:$H$604,7,FALSE)</f>
        <v>Privada</v>
      </c>
      <c r="D4" s="8" t="s">
        <v>10</v>
      </c>
      <c r="E4" s="8" t="s">
        <v>13</v>
      </c>
      <c r="F4" s="8" t="s">
        <v>12</v>
      </c>
      <c r="G4" s="8" t="s">
        <v>17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1</v>
      </c>
      <c r="R4" s="8">
        <v>164</v>
      </c>
      <c r="S4" s="8">
        <v>5</v>
      </c>
      <c r="T4" s="8">
        <v>37</v>
      </c>
      <c r="U4" s="8">
        <v>3</v>
      </c>
      <c r="V4" s="8">
        <v>9</v>
      </c>
      <c r="W4" s="8">
        <v>5</v>
      </c>
      <c r="X4" s="8">
        <v>4</v>
      </c>
      <c r="Y4" s="8" t="s">
        <v>180</v>
      </c>
      <c r="Z4" s="11">
        <v>46143</v>
      </c>
    </row>
    <row r="5" spans="1:26" ht="13">
      <c r="A5" s="8">
        <v>7600103359</v>
      </c>
      <c r="B5" s="9" t="s">
        <v>143</v>
      </c>
      <c r="C5" s="8" t="str">
        <f>VLOOKUP(A5,'[1]Prestadores febrero 2026'!$B$2:$H$604,7,FALSE)</f>
        <v>Privada</v>
      </c>
      <c r="D5" s="8" t="str">
        <f>VLOOKUP(A5,'[2]Servicios  Cali febereo 2026'!$B$2:$W$2,22)</f>
        <v>MEDIANA</v>
      </c>
      <c r="E5" s="8" t="s">
        <v>13</v>
      </c>
      <c r="F5" s="8" t="s">
        <v>12</v>
      </c>
      <c r="G5" s="8" t="s">
        <v>17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317</v>
      </c>
      <c r="S5" s="8">
        <v>5</v>
      </c>
      <c r="T5" s="8">
        <v>42</v>
      </c>
      <c r="U5" s="8">
        <v>12</v>
      </c>
      <c r="V5" s="8">
        <v>9</v>
      </c>
      <c r="W5" s="8">
        <v>5</v>
      </c>
      <c r="X5" s="8">
        <v>3</v>
      </c>
      <c r="Z5" s="11">
        <v>46143</v>
      </c>
    </row>
    <row r="6" spans="1:26" ht="13">
      <c r="A6" s="8">
        <v>7600108077</v>
      </c>
      <c r="B6" s="9" t="s">
        <v>144</v>
      </c>
      <c r="C6" s="8" t="str">
        <f>VLOOKUP(A6,'[1]Prestadores febrero 2026'!$B$2:$H$604,7,FALSE)</f>
        <v>Privada</v>
      </c>
      <c r="D6" s="8" t="str">
        <f>VLOOKUP(A6,'[2]Servicios  Cali febereo 2026'!$B$2:$W$2,22)</f>
        <v>MEDIANA</v>
      </c>
      <c r="E6" s="8" t="s">
        <v>13</v>
      </c>
      <c r="F6" s="8" t="s">
        <v>13</v>
      </c>
      <c r="G6" s="8" t="s">
        <v>17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0</v>
      </c>
      <c r="P6" s="8">
        <v>0</v>
      </c>
      <c r="Q6" s="8">
        <v>1</v>
      </c>
      <c r="R6" s="8">
        <v>351</v>
      </c>
      <c r="S6" s="8">
        <v>7</v>
      </c>
      <c r="T6" s="8">
        <v>5</v>
      </c>
      <c r="U6" s="8">
        <v>6</v>
      </c>
      <c r="V6" s="8">
        <v>5</v>
      </c>
      <c r="W6" s="8">
        <v>5</v>
      </c>
      <c r="X6" s="8">
        <v>3</v>
      </c>
      <c r="Y6" s="8" t="s">
        <v>181</v>
      </c>
      <c r="Z6" s="11">
        <v>46143</v>
      </c>
    </row>
    <row r="7" spans="1:26" ht="13">
      <c r="A7" s="8">
        <v>7600111592</v>
      </c>
      <c r="B7" s="9" t="s">
        <v>145</v>
      </c>
      <c r="C7" s="8" t="str">
        <f>VLOOKUP(A7,'[1]Prestadores febrero 2026'!$B$2:$H$604,7,FALSE)</f>
        <v>Privada</v>
      </c>
      <c r="D7" s="8" t="str">
        <f>VLOOKUP(A7,'[2]Servicios  Cali febereo 2026'!$B$2:$W$2,22)</f>
        <v>MEDIANA</v>
      </c>
      <c r="E7" s="8" t="s">
        <v>13</v>
      </c>
      <c r="F7" s="8" t="s">
        <v>13</v>
      </c>
      <c r="G7" s="8" t="s">
        <v>17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127</v>
      </c>
      <c r="S7" s="8">
        <v>3</v>
      </c>
      <c r="T7" s="8">
        <v>49</v>
      </c>
      <c r="U7" s="8">
        <v>5</v>
      </c>
      <c r="V7" s="8">
        <v>1</v>
      </c>
      <c r="W7" s="8">
        <v>5</v>
      </c>
      <c r="X7" s="8">
        <v>4</v>
      </c>
      <c r="Z7" s="11">
        <v>46143</v>
      </c>
    </row>
    <row r="8" spans="1:26" ht="26">
      <c r="A8" s="8">
        <v>7636403314</v>
      </c>
      <c r="B8" s="9" t="s">
        <v>146</v>
      </c>
      <c r="C8" s="8" t="s">
        <v>6</v>
      </c>
      <c r="D8" s="8" t="s">
        <v>8</v>
      </c>
      <c r="E8" s="8" t="s">
        <v>13</v>
      </c>
      <c r="F8" s="8" t="s">
        <v>13</v>
      </c>
      <c r="G8" s="8" t="s">
        <v>17</v>
      </c>
      <c r="I8" s="8">
        <v>1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S8" s="8">
        <v>0</v>
      </c>
      <c r="V8" s="8">
        <v>4</v>
      </c>
      <c r="W8" s="8">
        <v>3</v>
      </c>
      <c r="X8" s="8">
        <v>3</v>
      </c>
      <c r="Z8" s="19">
        <v>46143</v>
      </c>
    </row>
    <row r="9" spans="1:26" ht="26">
      <c r="A9" s="8">
        <v>7652009397</v>
      </c>
      <c r="B9" s="9" t="s">
        <v>147</v>
      </c>
      <c r="C9" s="8" t="s">
        <v>174</v>
      </c>
      <c r="D9" s="8" t="str">
        <f>VLOOKUP(A9,'[2]Servicios  Cali febereo 2026'!$B$2:$W$2,22)</f>
        <v>MEDIANA</v>
      </c>
      <c r="E9" s="8" t="s">
        <v>13</v>
      </c>
      <c r="F9" s="8" t="s">
        <v>13</v>
      </c>
      <c r="G9" s="8" t="s">
        <v>17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0</v>
      </c>
      <c r="P9" s="8">
        <v>0</v>
      </c>
      <c r="Q9" s="8">
        <v>1</v>
      </c>
      <c r="S9" s="8">
        <v>9</v>
      </c>
      <c r="V9" s="8">
        <v>3</v>
      </c>
      <c r="W9" s="8">
        <v>3</v>
      </c>
      <c r="X9" s="8">
        <v>4</v>
      </c>
      <c r="Z9" s="11">
        <v>46143</v>
      </c>
    </row>
    <row r="10" spans="1:26" ht="13">
      <c r="A10" s="8">
        <v>7600105765</v>
      </c>
      <c r="B10" s="9" t="s">
        <v>148</v>
      </c>
      <c r="C10" s="8" t="str">
        <f>VLOOKUP(A10,'[1]Prestadores febrero 2026'!$B$2:$H$604,7,FALSE)</f>
        <v>Privada</v>
      </c>
      <c r="D10" s="8" t="str">
        <f>VLOOKUP(A10,'[2]Servicios  Cali febereo 2026'!$B$2:$W$2,22)</f>
        <v>MEDIANA</v>
      </c>
      <c r="E10" s="8" t="s">
        <v>13</v>
      </c>
      <c r="F10" s="8" t="s">
        <v>12</v>
      </c>
      <c r="G10" s="8" t="s">
        <v>17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0</v>
      </c>
      <c r="P10" s="8">
        <v>0</v>
      </c>
      <c r="Q10" s="8">
        <v>1</v>
      </c>
      <c r="R10" s="8">
        <v>95</v>
      </c>
      <c r="S10" s="8">
        <v>5</v>
      </c>
      <c r="T10" s="8">
        <v>62</v>
      </c>
      <c r="U10" s="8">
        <v>8</v>
      </c>
      <c r="V10" s="8">
        <v>4</v>
      </c>
      <c r="W10" s="8">
        <v>4</v>
      </c>
      <c r="X10" s="8">
        <v>4</v>
      </c>
      <c r="Y10" s="8" t="s">
        <v>182</v>
      </c>
      <c r="Z10" s="11">
        <v>46143</v>
      </c>
    </row>
    <row r="11" spans="1:26" ht="13">
      <c r="A11" s="8">
        <v>7652002273</v>
      </c>
      <c r="B11" s="9" t="s">
        <v>149</v>
      </c>
      <c r="C11" s="8" t="s">
        <v>174</v>
      </c>
      <c r="D11" s="8" t="str">
        <f>VLOOKUP(A11,'[2]Servicios  Cali febereo 2026'!$B$2:$W$2,22)</f>
        <v>MEDIANA</v>
      </c>
      <c r="E11" s="8" t="s">
        <v>13</v>
      </c>
      <c r="F11" s="8" t="s">
        <v>12</v>
      </c>
      <c r="G11" s="8" t="s">
        <v>17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0</v>
      </c>
      <c r="P11" s="8">
        <v>0</v>
      </c>
      <c r="Q11" s="8">
        <v>1</v>
      </c>
      <c r="S11" s="8">
        <v>2</v>
      </c>
      <c r="V11" s="8">
        <v>4</v>
      </c>
      <c r="W11" s="8">
        <v>3</v>
      </c>
      <c r="X11" s="8">
        <v>3</v>
      </c>
      <c r="Z11" s="11">
        <v>46143</v>
      </c>
    </row>
    <row r="12" spans="1:26" ht="39">
      <c r="A12" s="8">
        <v>7600103954</v>
      </c>
      <c r="B12" s="9" t="s">
        <v>150</v>
      </c>
      <c r="C12" s="8" t="str">
        <f>VLOOKUP(A12,'[1]Prestadores febrero 2026'!$B$2:$H$604,7,FALSE)</f>
        <v>Pública</v>
      </c>
      <c r="D12" s="8" t="str">
        <f>VLOOKUP(A12,'[2]Servicios  Cali febereo 2026'!$B$2:$W$2,22)</f>
        <v>MEDIANA</v>
      </c>
      <c r="E12" s="8" t="s">
        <v>13</v>
      </c>
      <c r="F12" s="8" t="s">
        <v>12</v>
      </c>
      <c r="G12" s="8" t="s">
        <v>17</v>
      </c>
      <c r="I12" s="8">
        <v>1</v>
      </c>
      <c r="J12" s="8">
        <v>1</v>
      </c>
      <c r="K12" s="8">
        <v>1</v>
      </c>
      <c r="L12" s="8">
        <v>1</v>
      </c>
      <c r="M12" s="8">
        <v>0</v>
      </c>
      <c r="N12" s="8">
        <v>1</v>
      </c>
      <c r="O12" s="8">
        <v>0</v>
      </c>
      <c r="P12" s="8">
        <v>0</v>
      </c>
      <c r="Q12" s="8">
        <v>1</v>
      </c>
      <c r="R12" s="8">
        <v>170</v>
      </c>
      <c r="S12" s="8">
        <v>5</v>
      </c>
      <c r="T12" s="8">
        <v>18</v>
      </c>
      <c r="U12" s="8">
        <v>5</v>
      </c>
      <c r="V12" s="8">
        <v>7</v>
      </c>
      <c r="W12" s="8">
        <v>2</v>
      </c>
      <c r="X12" s="8">
        <v>3</v>
      </c>
      <c r="Z12" s="11">
        <v>46143</v>
      </c>
    </row>
    <row r="13" spans="1:26" ht="26">
      <c r="A13" s="8">
        <v>7600101125</v>
      </c>
      <c r="B13" s="9" t="s">
        <v>151</v>
      </c>
      <c r="C13" s="8" t="str">
        <f>VLOOKUP(A13,'[1]Prestadores febrero 2026'!$B$2:$H$604,7,FALSE)</f>
        <v>Privada</v>
      </c>
      <c r="D13" s="8" t="str">
        <f>VLOOKUP(A13,'[2]Servicios  Cali febereo 2026'!$B$2:$W$2,22)</f>
        <v>MEDIANA</v>
      </c>
      <c r="E13" s="8" t="s">
        <v>13</v>
      </c>
      <c r="F13" s="8" t="s">
        <v>12</v>
      </c>
      <c r="G13" s="8" t="s">
        <v>17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297</v>
      </c>
      <c r="S13" s="8">
        <v>5</v>
      </c>
      <c r="T13" s="8">
        <v>31</v>
      </c>
      <c r="U13" s="8">
        <v>9</v>
      </c>
      <c r="V13" s="8">
        <v>4</v>
      </c>
      <c r="W13" s="8">
        <v>5</v>
      </c>
      <c r="X13" s="8">
        <v>4</v>
      </c>
      <c r="Z13" s="11">
        <v>46143</v>
      </c>
    </row>
    <row r="14" spans="1:26" ht="13">
      <c r="A14" s="8">
        <v>7600101111</v>
      </c>
      <c r="B14" s="9" t="s">
        <v>152</v>
      </c>
      <c r="C14" s="8" t="str">
        <f>VLOOKUP(A14,'[1]Prestadores febrero 2026'!$B$2:$H$604,7,FALSE)</f>
        <v>Privada</v>
      </c>
      <c r="D14" s="8" t="str">
        <f>VLOOKUP(A14,'[2]Servicios  Cali febereo 2026'!$B$2:$W$2,22)</f>
        <v>MEDIANA</v>
      </c>
      <c r="E14" s="8" t="s">
        <v>13</v>
      </c>
      <c r="F14" s="8" t="s">
        <v>12</v>
      </c>
      <c r="G14" s="8" t="s">
        <v>17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407</v>
      </c>
      <c r="S14" s="8">
        <v>23</v>
      </c>
      <c r="T14" s="8">
        <v>69</v>
      </c>
      <c r="U14" s="8">
        <v>17</v>
      </c>
      <c r="V14" s="8">
        <v>7</v>
      </c>
      <c r="W14" s="8">
        <v>5</v>
      </c>
      <c r="X14" s="8">
        <v>5</v>
      </c>
      <c r="Y14" s="8" t="s">
        <v>183</v>
      </c>
      <c r="Z14" s="11">
        <v>46143</v>
      </c>
    </row>
    <row r="15" spans="1:26" ht="26">
      <c r="A15" s="8">
        <v>7611103495</v>
      </c>
      <c r="B15" s="9" t="s">
        <v>153</v>
      </c>
      <c r="C15" s="8" t="s">
        <v>174</v>
      </c>
      <c r="D15" s="8" t="str">
        <f>VLOOKUP(A15,'[2]Servicios  Cali febereo 2026'!$B$2:$W$2,22)</f>
        <v>MEDIANA</v>
      </c>
      <c r="E15" s="8" t="s">
        <v>13</v>
      </c>
      <c r="F15" s="8" t="s">
        <v>12</v>
      </c>
      <c r="G15" s="8" t="s">
        <v>17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V15" s="8">
        <v>5</v>
      </c>
      <c r="W15" s="8">
        <v>4</v>
      </c>
      <c r="X15" s="8">
        <v>4</v>
      </c>
      <c r="Y15" s="8" t="s">
        <v>183</v>
      </c>
      <c r="Z15" s="11">
        <v>46143</v>
      </c>
    </row>
    <row r="16" spans="1:26" ht="52">
      <c r="A16" s="8">
        <v>7600112932</v>
      </c>
      <c r="B16" s="9" t="s">
        <v>154</v>
      </c>
      <c r="C16" s="8" t="str">
        <f>VLOOKUP(A16,'[1]Prestadores febrero 2026'!$B$2:$H$604,7,FALSE)</f>
        <v>Privada</v>
      </c>
      <c r="D16" s="8" t="s">
        <v>8</v>
      </c>
      <c r="E16" s="8" t="s">
        <v>13</v>
      </c>
      <c r="F16" s="8" t="s">
        <v>13</v>
      </c>
      <c r="G16" s="8" t="s">
        <v>17</v>
      </c>
      <c r="I16" s="8">
        <v>1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1</v>
      </c>
      <c r="P16" s="8">
        <v>0</v>
      </c>
      <c r="Q16" s="8">
        <v>1</v>
      </c>
      <c r="R16" s="8">
        <v>0</v>
      </c>
      <c r="S16" s="8">
        <v>1</v>
      </c>
      <c r="T16" s="8">
        <v>19</v>
      </c>
      <c r="U16" s="8">
        <v>0</v>
      </c>
      <c r="V16" s="8">
        <v>1</v>
      </c>
      <c r="W16" s="8">
        <v>5</v>
      </c>
      <c r="X16" s="8">
        <v>4</v>
      </c>
      <c r="Z16" s="11">
        <v>46143</v>
      </c>
    </row>
    <row r="17" spans="1:26" ht="26">
      <c r="A17" s="8">
        <v>7600103956</v>
      </c>
      <c r="B17" s="9" t="s">
        <v>155</v>
      </c>
      <c r="C17" s="8" t="str">
        <f>VLOOKUP(A17,'[1]Prestadores febrero 2026'!$B$2:$H$604,7,FALSE)</f>
        <v>Pública</v>
      </c>
      <c r="D17" s="8" t="s">
        <v>8</v>
      </c>
      <c r="E17" s="8" t="s">
        <v>13</v>
      </c>
      <c r="F17" s="8" t="s">
        <v>12</v>
      </c>
      <c r="G17" s="8" t="s">
        <v>17</v>
      </c>
      <c r="I17" s="8">
        <v>1</v>
      </c>
      <c r="J17" s="8">
        <v>1</v>
      </c>
      <c r="K17" s="8">
        <v>1</v>
      </c>
      <c r="L17" s="8">
        <v>1</v>
      </c>
      <c r="M17" s="8">
        <v>0</v>
      </c>
      <c r="N17" s="8">
        <v>0</v>
      </c>
      <c r="O17" s="8">
        <v>1</v>
      </c>
      <c r="P17" s="8">
        <v>1</v>
      </c>
      <c r="Q17" s="8">
        <v>1</v>
      </c>
      <c r="R17" s="8">
        <v>35</v>
      </c>
      <c r="S17" s="8">
        <v>11</v>
      </c>
      <c r="T17" s="8">
        <v>226</v>
      </c>
      <c r="U17" s="8">
        <v>3</v>
      </c>
      <c r="V17" s="8">
        <v>7</v>
      </c>
      <c r="W17" s="8">
        <v>3</v>
      </c>
      <c r="X17" s="8">
        <v>3</v>
      </c>
      <c r="Y17" s="8" t="s">
        <v>184</v>
      </c>
      <c r="Z17" s="11">
        <v>46143</v>
      </c>
    </row>
    <row r="18" spans="1:26" ht="26">
      <c r="A18" s="8">
        <v>7600103959</v>
      </c>
      <c r="B18" s="9" t="s">
        <v>156</v>
      </c>
      <c r="C18" s="8" t="str">
        <f>VLOOKUP(A18,'[1]Prestadores febrero 2026'!$B$2:$H$604,7,FALSE)</f>
        <v>Pública</v>
      </c>
      <c r="D18" s="8" t="s">
        <v>8</v>
      </c>
      <c r="E18" s="8" t="s">
        <v>13</v>
      </c>
      <c r="F18" s="8" t="s">
        <v>12</v>
      </c>
      <c r="G18" s="8" t="s">
        <v>17</v>
      </c>
      <c r="I18" s="8">
        <v>1</v>
      </c>
      <c r="J18" s="8">
        <v>1</v>
      </c>
      <c r="K18" s="8">
        <v>1</v>
      </c>
      <c r="L18" s="8">
        <v>1</v>
      </c>
      <c r="M18" s="8">
        <v>0</v>
      </c>
      <c r="N18" s="8">
        <v>0</v>
      </c>
      <c r="O18" s="8">
        <v>1</v>
      </c>
      <c r="P18" s="8">
        <v>1</v>
      </c>
      <c r="Q18" s="8">
        <v>1</v>
      </c>
      <c r="R18" s="8">
        <v>68</v>
      </c>
      <c r="S18" s="8">
        <v>3</v>
      </c>
      <c r="T18" s="8">
        <v>273</v>
      </c>
      <c r="U18" s="8">
        <v>5</v>
      </c>
      <c r="V18" s="8">
        <v>7</v>
      </c>
      <c r="W18" s="8">
        <v>3</v>
      </c>
      <c r="X18" s="8">
        <v>3</v>
      </c>
      <c r="Y18" s="8" t="s">
        <v>184</v>
      </c>
      <c r="Z18" s="11">
        <v>46143</v>
      </c>
    </row>
    <row r="19" spans="1:26" ht="26">
      <c r="A19" s="8">
        <v>7600103957</v>
      </c>
      <c r="B19" s="9" t="s">
        <v>157</v>
      </c>
      <c r="C19" s="8" t="str">
        <f>VLOOKUP(A19,'[1]Prestadores febrero 2026'!$B$2:$H$604,7,FALSE)</f>
        <v>Pública</v>
      </c>
      <c r="D19" s="8" t="s">
        <v>8</v>
      </c>
      <c r="E19" s="8" t="s">
        <v>13</v>
      </c>
      <c r="F19" s="8" t="s">
        <v>12</v>
      </c>
      <c r="G19" s="8" t="s">
        <v>17</v>
      </c>
      <c r="I19" s="8">
        <v>1</v>
      </c>
      <c r="J19" s="8">
        <v>1</v>
      </c>
      <c r="K19" s="8">
        <v>1</v>
      </c>
      <c r="L19" s="8">
        <v>1</v>
      </c>
      <c r="M19" s="8">
        <v>0</v>
      </c>
      <c r="N19" s="8">
        <v>0</v>
      </c>
      <c r="O19" s="8">
        <v>1</v>
      </c>
      <c r="P19" s="8">
        <v>1</v>
      </c>
      <c r="Q19" s="8">
        <v>1</v>
      </c>
      <c r="R19" s="8">
        <v>100</v>
      </c>
      <c r="S19" s="8">
        <v>2</v>
      </c>
      <c r="T19" s="8">
        <v>162</v>
      </c>
      <c r="U19" s="8">
        <v>1</v>
      </c>
      <c r="V19" s="8">
        <v>7</v>
      </c>
      <c r="W19" s="8">
        <v>3</v>
      </c>
      <c r="X19" s="8">
        <v>3</v>
      </c>
      <c r="Y19" s="8" t="s">
        <v>184</v>
      </c>
      <c r="Z19" s="11">
        <v>46143</v>
      </c>
    </row>
    <row r="20" spans="1:26" ht="26">
      <c r="A20" s="8">
        <v>7600102523</v>
      </c>
      <c r="B20" s="9" t="s">
        <v>158</v>
      </c>
      <c r="C20" s="8" t="str">
        <f>VLOOKUP(A20,'[1]Prestadores febrero 2026'!$B$2:$H$604,7,FALSE)</f>
        <v>Pública</v>
      </c>
      <c r="D20" s="8" t="s">
        <v>8</v>
      </c>
      <c r="E20" s="8" t="s">
        <v>13</v>
      </c>
      <c r="F20" s="8" t="s">
        <v>12</v>
      </c>
      <c r="G20" s="8" t="s">
        <v>17</v>
      </c>
      <c r="I20" s="8">
        <v>1</v>
      </c>
      <c r="J20" s="8">
        <v>1</v>
      </c>
      <c r="K20" s="8">
        <v>1</v>
      </c>
      <c r="L20" s="8">
        <v>1</v>
      </c>
      <c r="M20" s="8">
        <v>0</v>
      </c>
      <c r="N20" s="8">
        <v>0</v>
      </c>
      <c r="O20" s="8">
        <v>1</v>
      </c>
      <c r="P20" s="8">
        <v>1</v>
      </c>
      <c r="Q20" s="8">
        <v>1</v>
      </c>
      <c r="R20" s="8">
        <v>27</v>
      </c>
      <c r="S20" s="8">
        <v>3</v>
      </c>
      <c r="T20" s="8">
        <v>62</v>
      </c>
      <c r="U20" s="8">
        <v>1</v>
      </c>
      <c r="V20" s="8">
        <v>7</v>
      </c>
      <c r="W20" s="8">
        <v>3</v>
      </c>
      <c r="X20" s="8">
        <v>3</v>
      </c>
      <c r="Y20" s="8" t="s">
        <v>184</v>
      </c>
      <c r="Z20" s="11">
        <v>46143</v>
      </c>
    </row>
    <row r="21" spans="1:26" ht="26">
      <c r="A21" s="8">
        <v>7600100037</v>
      </c>
      <c r="B21" s="9" t="s">
        <v>159</v>
      </c>
      <c r="C21" s="8" t="str">
        <f>VLOOKUP(A21,'[1]Prestadores febrero 2026'!$B$2:$H$604,7,FALSE)</f>
        <v>Privada</v>
      </c>
      <c r="D21" s="8" t="s">
        <v>8</v>
      </c>
      <c r="E21" s="8" t="s">
        <v>13</v>
      </c>
      <c r="F21" s="8" t="s">
        <v>12</v>
      </c>
      <c r="G21" s="8" t="s">
        <v>17</v>
      </c>
      <c r="I21" s="8">
        <v>1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1</v>
      </c>
      <c r="R21" s="8">
        <v>0</v>
      </c>
      <c r="S21" s="8">
        <v>15</v>
      </c>
      <c r="T21" s="8">
        <v>159</v>
      </c>
      <c r="U21" s="8">
        <v>0</v>
      </c>
      <c r="V21" s="8">
        <v>3</v>
      </c>
      <c r="W21" s="8">
        <v>5</v>
      </c>
      <c r="X21" s="8">
        <v>2</v>
      </c>
      <c r="Y21" s="8" t="s">
        <v>185</v>
      </c>
      <c r="Z21" s="11">
        <v>46143</v>
      </c>
    </row>
    <row r="22" spans="1:26" ht="39">
      <c r="A22" s="8">
        <v>7600104064</v>
      </c>
      <c r="B22" s="9" t="s">
        <v>160</v>
      </c>
      <c r="C22" s="8" t="str">
        <f>VLOOKUP(A22,'[1]Prestadores febrero 2026'!$B$2:$H$604,7,FALSE)</f>
        <v>Privada</v>
      </c>
      <c r="D22" s="8" t="str">
        <f>VLOOKUP(A22,'[2]Servicios  Cali febereo 2026'!$B$2:$W$2,22)</f>
        <v>MEDIANA</v>
      </c>
      <c r="E22" s="8" t="s">
        <v>13</v>
      </c>
      <c r="F22" s="8" t="s">
        <v>13</v>
      </c>
      <c r="G22" s="8" t="s">
        <v>17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0</v>
      </c>
      <c r="P22" s="8">
        <v>0</v>
      </c>
      <c r="Q22" s="8">
        <v>1</v>
      </c>
      <c r="R22" s="8">
        <v>122</v>
      </c>
      <c r="S22" s="8">
        <v>14</v>
      </c>
      <c r="T22" s="8">
        <v>58</v>
      </c>
      <c r="U22" s="8">
        <v>4</v>
      </c>
      <c r="V22" s="8">
        <v>2</v>
      </c>
      <c r="W22" s="8">
        <v>5</v>
      </c>
      <c r="X22" s="8">
        <v>4</v>
      </c>
      <c r="Y22" s="8" t="s">
        <v>186</v>
      </c>
      <c r="Z22" s="11">
        <v>46143</v>
      </c>
    </row>
    <row r="23" spans="1:26" ht="39">
      <c r="A23" s="8">
        <v>7600103609</v>
      </c>
      <c r="B23" s="9" t="s">
        <v>161</v>
      </c>
      <c r="C23" s="8" t="str">
        <f>VLOOKUP(A23,'[1]Prestadores febrero 2026'!$B$2:$H$604,7,FALSE)</f>
        <v>Pública</v>
      </c>
      <c r="D23" s="8" t="str">
        <f>VLOOKUP(A23,'[2]Servicios  Cali febereo 2026'!$B$2:$W$2,22)</f>
        <v>MEDIANA</v>
      </c>
      <c r="E23" s="8" t="s">
        <v>12</v>
      </c>
      <c r="F23" s="8" t="s">
        <v>12</v>
      </c>
      <c r="G23" s="8" t="s">
        <v>17</v>
      </c>
      <c r="I23" s="8">
        <v>1</v>
      </c>
      <c r="J23" s="8">
        <v>1</v>
      </c>
      <c r="K23" s="8">
        <v>1</v>
      </c>
      <c r="L23" s="8">
        <v>0</v>
      </c>
      <c r="M23" s="8">
        <v>1</v>
      </c>
      <c r="N23" s="8">
        <v>0</v>
      </c>
      <c r="O23" s="8">
        <v>0</v>
      </c>
      <c r="P23" s="8">
        <v>0</v>
      </c>
      <c r="Q23" s="8">
        <v>1</v>
      </c>
      <c r="R23" s="8">
        <v>300</v>
      </c>
      <c r="S23" s="8">
        <v>2</v>
      </c>
      <c r="T23" s="8">
        <v>29</v>
      </c>
      <c r="U23" s="8">
        <v>0</v>
      </c>
      <c r="V23" s="8">
        <v>9</v>
      </c>
      <c r="W23" s="8">
        <v>5</v>
      </c>
      <c r="X23" s="8">
        <v>4</v>
      </c>
      <c r="Z23" s="11">
        <v>46143</v>
      </c>
    </row>
    <row r="24" spans="1:26" ht="13">
      <c r="A24" s="8">
        <v>7600109597</v>
      </c>
      <c r="B24" s="9" t="s">
        <v>162</v>
      </c>
      <c r="C24" s="8" t="str">
        <f>VLOOKUP(A24,'[1]Prestadores febrero 2026'!$B$2:$H$604,7,FALSE)</f>
        <v>Privada</v>
      </c>
      <c r="D24" s="8" t="s">
        <v>8</v>
      </c>
      <c r="E24" s="8" t="s">
        <v>13</v>
      </c>
      <c r="F24" s="8" t="s">
        <v>13</v>
      </c>
      <c r="G24" s="8" t="s">
        <v>16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</v>
      </c>
      <c r="R24" s="8">
        <v>0</v>
      </c>
      <c r="S24" s="8">
        <v>1</v>
      </c>
      <c r="T24" s="8">
        <v>0</v>
      </c>
      <c r="U24" s="8">
        <v>57</v>
      </c>
      <c r="V24" s="8">
        <v>2</v>
      </c>
      <c r="W24" s="8">
        <v>4</v>
      </c>
      <c r="X24" s="8">
        <v>4</v>
      </c>
      <c r="Y24" s="8" t="s">
        <v>185</v>
      </c>
      <c r="Z24" s="11">
        <v>46143</v>
      </c>
    </row>
    <row r="25" spans="1:26" ht="26">
      <c r="A25" s="8">
        <v>7600112124</v>
      </c>
      <c r="B25" s="9" t="s">
        <v>163</v>
      </c>
      <c r="C25" s="8" t="str">
        <f>VLOOKUP(A25,'[1]Prestadores febrero 2026'!$B$2:$H$604,7,FALSE)</f>
        <v>Privada</v>
      </c>
      <c r="D25" s="8" t="s">
        <v>8</v>
      </c>
      <c r="E25" s="8" t="s">
        <v>13</v>
      </c>
      <c r="F25" s="8" t="s">
        <v>13</v>
      </c>
      <c r="G25" s="8" t="s">
        <v>17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1</v>
      </c>
      <c r="R25" s="8">
        <v>0</v>
      </c>
      <c r="S25" s="8">
        <v>2</v>
      </c>
      <c r="T25" s="8">
        <v>4</v>
      </c>
      <c r="U25" s="8">
        <v>0</v>
      </c>
      <c r="V25" s="8">
        <v>2</v>
      </c>
      <c r="W25" s="8">
        <v>4</v>
      </c>
      <c r="X25" s="8">
        <v>4</v>
      </c>
      <c r="Y25" s="8" t="s">
        <v>185</v>
      </c>
      <c r="Z25" s="11">
        <v>46143</v>
      </c>
    </row>
    <row r="26" spans="1:26" ht="13">
      <c r="A26" s="8">
        <v>7600100803</v>
      </c>
      <c r="B26" s="9" t="s">
        <v>164</v>
      </c>
      <c r="C26" s="8" t="str">
        <f>VLOOKUP(A26,'[1]Prestadores febrero 2026'!$B$2:$H$604,7,FALSE)</f>
        <v>Privada</v>
      </c>
      <c r="D26" s="8" t="s">
        <v>8</v>
      </c>
      <c r="E26" s="8" t="s">
        <v>13</v>
      </c>
      <c r="F26" s="8" t="s">
        <v>13</v>
      </c>
      <c r="G26" s="8" t="s">
        <v>17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S26" s="8">
        <v>0</v>
      </c>
      <c r="V26" s="8">
        <v>1</v>
      </c>
      <c r="W26" s="8">
        <v>4</v>
      </c>
      <c r="X26" s="8">
        <v>3</v>
      </c>
      <c r="Y26" s="8" t="s">
        <v>185</v>
      </c>
      <c r="Z26" s="19">
        <v>46143</v>
      </c>
    </row>
    <row r="27" spans="1:26" ht="13">
      <c r="A27" s="8">
        <v>7600100294</v>
      </c>
      <c r="B27" s="9" t="s">
        <v>165</v>
      </c>
      <c r="C27" s="8" t="str">
        <f>VLOOKUP(A27,'[1]Prestadores febrero 2026'!$B$2:$H$604,7,FALSE)</f>
        <v>Privada</v>
      </c>
      <c r="D27" s="8" t="s">
        <v>9</v>
      </c>
      <c r="E27" s="8" t="s">
        <v>13</v>
      </c>
      <c r="F27" s="8" t="s">
        <v>12</v>
      </c>
      <c r="G27" s="8" t="s">
        <v>17</v>
      </c>
      <c r="I27" s="8">
        <v>1</v>
      </c>
      <c r="J27" s="8">
        <v>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1</v>
      </c>
      <c r="R27" s="8">
        <v>0</v>
      </c>
      <c r="S27" s="8">
        <v>3</v>
      </c>
      <c r="T27" s="8">
        <v>20</v>
      </c>
      <c r="U27" s="8">
        <v>3</v>
      </c>
      <c r="V27" s="8">
        <v>3</v>
      </c>
      <c r="W27" s="8">
        <v>5</v>
      </c>
      <c r="X27" s="8">
        <v>4</v>
      </c>
      <c r="Y27" s="8" t="s">
        <v>185</v>
      </c>
      <c r="Z27" s="11">
        <v>46143</v>
      </c>
    </row>
    <row r="28" spans="1:26" ht="26">
      <c r="A28" s="8">
        <v>7600105205</v>
      </c>
      <c r="B28" s="9" t="s">
        <v>166</v>
      </c>
      <c r="C28" s="8" t="str">
        <f>VLOOKUP(A28,'[1]Prestadores febrero 2026'!$B$2:$H$604,7,FALSE)</f>
        <v>Privada</v>
      </c>
      <c r="D28" s="8" t="str">
        <f>VLOOKUP(A28,'[2]Servicios  Cali febereo 2026'!$B$2:$W$2,22)</f>
        <v>MEDIANA</v>
      </c>
      <c r="E28" s="8" t="s">
        <v>13</v>
      </c>
      <c r="F28" s="8" t="s">
        <v>12</v>
      </c>
      <c r="G28" s="8" t="s">
        <v>17</v>
      </c>
      <c r="I28" s="8">
        <v>1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1</v>
      </c>
      <c r="R28" s="8">
        <v>0</v>
      </c>
      <c r="S28" s="8">
        <v>1</v>
      </c>
      <c r="T28" s="8">
        <v>60</v>
      </c>
      <c r="U28" s="8">
        <v>6</v>
      </c>
      <c r="V28" s="8">
        <v>3</v>
      </c>
      <c r="W28" s="8">
        <v>5</v>
      </c>
      <c r="X28" s="8">
        <v>4</v>
      </c>
      <c r="Y28" s="8" t="s">
        <v>185</v>
      </c>
      <c r="Z28" s="11">
        <v>46143</v>
      </c>
    </row>
    <row r="29" spans="1:26" ht="13">
      <c r="A29" s="8">
        <v>1100109456</v>
      </c>
      <c r="B29" s="9" t="s">
        <v>167</v>
      </c>
      <c r="C29" s="8" t="s">
        <v>174</v>
      </c>
      <c r="D29" s="8" t="s">
        <v>10</v>
      </c>
      <c r="E29" s="8" t="s">
        <v>12</v>
      </c>
      <c r="F29" s="8" t="s">
        <v>12</v>
      </c>
      <c r="G29" s="8" t="s">
        <v>17</v>
      </c>
      <c r="I29" s="8">
        <v>1</v>
      </c>
      <c r="J29" s="8">
        <v>1</v>
      </c>
      <c r="K29" s="8">
        <v>1</v>
      </c>
      <c r="L29" s="8">
        <v>1</v>
      </c>
      <c r="M29" s="8">
        <v>1</v>
      </c>
      <c r="N29" s="8">
        <v>1</v>
      </c>
      <c r="O29" s="8">
        <v>0</v>
      </c>
      <c r="P29" s="8">
        <v>0</v>
      </c>
      <c r="Q29" s="8">
        <v>1</v>
      </c>
      <c r="V29" s="8">
        <v>15</v>
      </c>
      <c r="W29" s="8">
        <v>5</v>
      </c>
      <c r="X29" s="8">
        <v>4</v>
      </c>
      <c r="Y29" s="8" t="s">
        <v>183</v>
      </c>
      <c r="Z29" s="11">
        <v>46143</v>
      </c>
    </row>
    <row r="30" spans="1:26" ht="26">
      <c r="A30" s="8">
        <v>5200101102</v>
      </c>
      <c r="B30" s="9" t="s">
        <v>168</v>
      </c>
      <c r="C30" s="8" t="s">
        <v>3</v>
      </c>
      <c r="D30" s="8" t="s">
        <v>9</v>
      </c>
      <c r="E30" s="8" t="s">
        <v>12</v>
      </c>
      <c r="F30" s="8" t="s">
        <v>12</v>
      </c>
      <c r="G30" s="8" t="s">
        <v>17</v>
      </c>
      <c r="I30" s="8">
        <v>1</v>
      </c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V30" s="8">
        <v>5</v>
      </c>
      <c r="W30" s="8">
        <v>4</v>
      </c>
      <c r="X30" s="8">
        <v>4</v>
      </c>
      <c r="Y30" s="8" t="s">
        <v>183</v>
      </c>
      <c r="Z30" s="11">
        <v>46143</v>
      </c>
    </row>
    <row r="31" spans="1:26" ht="13">
      <c r="A31" s="8">
        <v>5200100283</v>
      </c>
      <c r="B31" s="9" t="s">
        <v>169</v>
      </c>
      <c r="C31" s="8" t="s">
        <v>174</v>
      </c>
      <c r="D31" s="8" t="s">
        <v>10</v>
      </c>
      <c r="E31" s="8" t="s">
        <v>13</v>
      </c>
      <c r="F31" s="8" t="s">
        <v>12</v>
      </c>
      <c r="G31" s="8" t="s">
        <v>17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0</v>
      </c>
      <c r="Q31" s="8">
        <v>1</v>
      </c>
      <c r="V31" s="8">
        <v>5</v>
      </c>
      <c r="W31" s="8">
        <v>5</v>
      </c>
      <c r="X31" s="8">
        <v>5</v>
      </c>
      <c r="Y31" s="8" t="s">
        <v>183</v>
      </c>
      <c r="Z31" s="11">
        <v>46143</v>
      </c>
    </row>
    <row r="32" spans="1:26" ht="26">
      <c r="A32" s="8">
        <v>7600103799</v>
      </c>
      <c r="B32" s="9" t="s">
        <v>170</v>
      </c>
      <c r="C32" s="8" t="str">
        <f>VLOOKUP(A32,'[1]Prestadores febrero 2026'!$B$2:$H$604,7,FALSE)</f>
        <v>Pública</v>
      </c>
      <c r="D32" s="8" t="s">
        <v>10</v>
      </c>
      <c r="E32" s="8" t="s">
        <v>12</v>
      </c>
      <c r="F32" s="8" t="s">
        <v>12</v>
      </c>
      <c r="G32" s="8" t="s">
        <v>17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596</v>
      </c>
      <c r="S32" s="8">
        <v>17</v>
      </c>
      <c r="T32" s="8">
        <v>92</v>
      </c>
      <c r="U32" s="8">
        <v>23</v>
      </c>
      <c r="V32" s="8">
        <v>17</v>
      </c>
      <c r="W32" s="8">
        <v>5</v>
      </c>
      <c r="X32" s="8">
        <v>4</v>
      </c>
      <c r="Y32" s="8" t="s">
        <v>187</v>
      </c>
      <c r="Z32" s="11">
        <v>46143</v>
      </c>
    </row>
  </sheetData>
  <sheetProtection/>
  <autoFilter ref="A1:Z32"/>
  <dataValidations count="16">
    <dataValidation type="list" allowBlank="1" sqref="C2:C32">
      <formula1>"Pública,Privada sin ánimo de lucro,Privada con ánimo de lucro,Mixta"</formula1>
    </dataValidation>
    <dataValidation type="list" allowBlank="1" sqref="C33:C187">
      <formula1>"Pública,Privada sin ánimo de lucro,Privada con ánimo de lucro,Mixta"</formula1>
    </dataValidation>
    <dataValidation type="list" allowBlank="1" sqref="D2:D32">
      <formula1>"Baja,Mediana,Alta"</formula1>
    </dataValidation>
    <dataValidation type="list" allowBlank="1" sqref="D33:D187">
      <formula1>"Baja,Mediana,Alta"</formula1>
    </dataValidation>
    <dataValidation type="list" allowBlank="1" sqref="E2:F32">
      <formula1>"Sí,No"</formula1>
    </dataValidation>
    <dataValidation type="list" allowBlank="1" sqref="E33:F187">
      <formula1>"Sí,No"</formula1>
    </dataValidation>
    <dataValidation type="list" allowBlank="1" sqref="G2:G32">
      <formula1>"Pregrado,Posgrado,Ambos"</formula1>
    </dataValidation>
    <dataValidation type="list" allowBlank="1" sqref="G33:G187">
      <formula1>"Pregrado,Posgrado,Ambos"</formula1>
    </dataValidation>
    <dataValidation type="list" allowBlank="1" sqref="I2:Q32">
      <formula1>"0,1"</formula1>
    </dataValidation>
    <dataValidation type="list" allowBlank="1" sqref="I33:Q187">
      <formula1>"0,1"</formula1>
    </dataValidation>
    <dataValidation type="list" allowBlank="1" sqref="W2:X32">
      <formula1>"1,2,3,4,5"</formula1>
    </dataValidation>
    <dataValidation type="list" allowBlank="1" sqref="W33:X187">
      <formula1>"1,2,3,4,5"</formula1>
    </dataValidation>
    <dataValidation type="whole" operator="greaterThanOrEqual" allowBlank="1" errorTitle="Validación" error="Valor inválido. Debe ser entero &gt;= 0." sqref="E2:E32">
      <formula1>0</formula1>
    </dataValidation>
    <dataValidation type="whole" operator="greaterThanOrEqual" allowBlank="1" errorTitle="Validación" error="Valor inválido. Debe ser entero &gt;= 0." sqref="E33:E487">
      <formula1>0</formula1>
    </dataValidation>
    <dataValidation type="whole" operator="greaterThanOrEqual" allowBlank="1" errorTitle="Validación" error="Valor inválido. Debe ser entero &gt;= 0." sqref="R2:V32">
      <formula1>0</formula1>
    </dataValidation>
    <dataValidation type="whole" operator="greaterThanOrEqual" allowBlank="1" errorTitle="Validación" error="Valor inválido. Debe ser entero &gt;= 0." sqref="R33:V187">
      <formula1>0</formula1>
    </dataValidation>
  </dataValidations>
  <pageMargins left="0.75" right="0.75" top="1" bottom="1" header="0.5" footer="0.5"/>
  <ignoredErrors>
    <ignoredError sqref="A3 A33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workbookViewId="0" topLeftCell="A1">
      <pane ySplit="1" topLeftCell="A2" activePane="bottomLeft" state="frozen"/>
      <selection pane="topLeft" activeCell="A1" sqref="A1"/>
      <selection pane="bottomLeft" activeCell="A33" sqref="A33"/>
    </sheetView>
  </sheetViews>
  <sheetFormatPr defaultColWidth="8.81428571428571" defaultRowHeight="14.5"/>
  <cols>
    <col min="1" max="1" width="16" style="8" customWidth="1"/>
    <col min="2" max="2" width="31.4285714285714" style="9" customWidth="1"/>
    <col min="3" max="3" width="12" customWidth="1"/>
    <col min="4" max="4" width="37" customWidth="1"/>
    <col min="5" max="5" width="19" customWidth="1"/>
    <col min="6" max="6" width="25" style="16" customWidth="1"/>
    <col min="7" max="7" width="15" customWidth="1"/>
  </cols>
  <sheetData>
    <row r="1" spans="1:7" ht="34" customHeight="1">
      <c r="A1" s="7" t="s">
        <v>61</v>
      </c>
      <c r="B1" s="7" t="s">
        <v>62</v>
      </c>
      <c r="C1" s="1" t="s">
        <v>85</v>
      </c>
      <c r="D1" s="1" t="s">
        <v>86</v>
      </c>
      <c r="E1" s="12" t="s">
        <v>87</v>
      </c>
      <c r="F1" s="1" t="s">
        <v>88</v>
      </c>
      <c r="G1" s="1" t="s">
        <v>89</v>
      </c>
    </row>
    <row r="2" spans="1:6" ht="14.5">
      <c r="A2" s="8">
        <v>7600103715</v>
      </c>
      <c r="B2" s="9" t="s">
        <v>140</v>
      </c>
      <c r="C2" t="s">
        <v>45</v>
      </c>
      <c r="D2" t="s">
        <v>15</v>
      </c>
      <c r="E2" t="s">
        <v>126</v>
      </c>
      <c r="F2" s="16">
        <v>51</v>
      </c>
    </row>
    <row r="3" spans="1:6" ht="14.5">
      <c r="A3" s="8" t="s">
        <v>171</v>
      </c>
      <c r="B3" s="9" t="s">
        <v>141</v>
      </c>
      <c r="C3" t="s">
        <v>45</v>
      </c>
      <c r="D3" t="s">
        <v>15</v>
      </c>
      <c r="E3" t="s">
        <v>126</v>
      </c>
      <c r="F3" s="16">
        <v>7</v>
      </c>
    </row>
    <row r="4" spans="1:6" ht="26">
      <c r="A4" s="8">
        <v>7600102541</v>
      </c>
      <c r="B4" s="9" t="s">
        <v>142</v>
      </c>
      <c r="C4" t="s">
        <v>45</v>
      </c>
      <c r="D4" t="s">
        <v>15</v>
      </c>
      <c r="E4" t="s">
        <v>126</v>
      </c>
      <c r="F4" s="16">
        <v>22</v>
      </c>
    </row>
    <row r="5" spans="1:6" ht="14.5">
      <c r="A5" s="8">
        <v>7600103359</v>
      </c>
      <c r="B5" s="9" t="s">
        <v>143</v>
      </c>
      <c r="C5" t="s">
        <v>45</v>
      </c>
      <c r="D5" t="s">
        <v>15</v>
      </c>
      <c r="E5" t="s">
        <v>126</v>
      </c>
      <c r="F5" s="16">
        <v>93</v>
      </c>
    </row>
    <row r="6" spans="1:6" ht="14.5">
      <c r="A6" s="8">
        <v>7600108077</v>
      </c>
      <c r="B6" s="9" t="s">
        <v>144</v>
      </c>
      <c r="C6" t="s">
        <v>45</v>
      </c>
      <c r="D6" t="s">
        <v>15</v>
      </c>
      <c r="E6" t="s">
        <v>126</v>
      </c>
      <c r="F6" s="16">
        <v>28</v>
      </c>
    </row>
    <row r="7" spans="1:6" ht="14.5">
      <c r="A7" s="8">
        <v>7600111592</v>
      </c>
      <c r="B7" s="9" t="s">
        <v>145</v>
      </c>
      <c r="C7" t="s">
        <v>45</v>
      </c>
      <c r="D7" t="s">
        <v>15</v>
      </c>
      <c r="E7" t="s">
        <v>126</v>
      </c>
      <c r="F7" s="16">
        <v>24</v>
      </c>
    </row>
    <row r="8" spans="1:6" ht="26">
      <c r="A8" s="8">
        <v>7636403314</v>
      </c>
      <c r="B8" s="9" t="s">
        <v>146</v>
      </c>
      <c r="C8" t="s">
        <v>45</v>
      </c>
      <c r="D8" t="s">
        <v>15</v>
      </c>
      <c r="E8" t="s">
        <v>126</v>
      </c>
      <c r="F8" s="16">
        <v>10</v>
      </c>
    </row>
    <row r="9" spans="1:6" ht="26">
      <c r="A9" s="8">
        <v>7652009397</v>
      </c>
      <c r="B9" s="9" t="s">
        <v>147</v>
      </c>
      <c r="C9" t="s">
        <v>45</v>
      </c>
      <c r="D9" t="s">
        <v>15</v>
      </c>
      <c r="E9" t="s">
        <v>126</v>
      </c>
      <c r="F9" s="16">
        <v>7</v>
      </c>
    </row>
    <row r="10" spans="1:6" ht="14.5">
      <c r="A10" s="8">
        <v>7600105765</v>
      </c>
      <c r="B10" s="9" t="s">
        <v>148</v>
      </c>
      <c r="C10" t="s">
        <v>45</v>
      </c>
      <c r="D10" t="s">
        <v>15</v>
      </c>
      <c r="E10" t="s">
        <v>126</v>
      </c>
      <c r="F10" s="16">
        <v>27</v>
      </c>
    </row>
    <row r="11" spans="1:6" ht="14.5">
      <c r="A11" s="8">
        <v>7652002273</v>
      </c>
      <c r="B11" s="9" t="s">
        <v>149</v>
      </c>
      <c r="C11" t="s">
        <v>45</v>
      </c>
      <c r="D11" t="s">
        <v>15</v>
      </c>
      <c r="E11" t="s">
        <v>126</v>
      </c>
      <c r="F11" s="16">
        <v>15</v>
      </c>
    </row>
    <row r="12" spans="1:6" ht="39">
      <c r="A12" s="8">
        <v>7600103954</v>
      </c>
      <c r="B12" s="9" t="s">
        <v>150</v>
      </c>
      <c r="C12" t="s">
        <v>45</v>
      </c>
      <c r="D12" t="s">
        <v>15</v>
      </c>
      <c r="E12" t="s">
        <v>126</v>
      </c>
      <c r="F12" s="16">
        <v>21</v>
      </c>
    </row>
    <row r="13" spans="1:6" ht="26">
      <c r="A13" s="8">
        <v>7600101125</v>
      </c>
      <c r="B13" s="9" t="s">
        <v>151</v>
      </c>
      <c r="C13" t="s">
        <v>45</v>
      </c>
      <c r="D13" t="s">
        <v>15</v>
      </c>
      <c r="E13" t="s">
        <v>126</v>
      </c>
      <c r="F13" s="16">
        <v>26</v>
      </c>
    </row>
    <row r="14" spans="1:6" ht="14.5">
      <c r="A14" s="8">
        <v>7600101111</v>
      </c>
      <c r="B14" s="9" t="s">
        <v>152</v>
      </c>
      <c r="C14" t="s">
        <v>45</v>
      </c>
      <c r="D14" t="s">
        <v>15</v>
      </c>
      <c r="E14" t="s">
        <v>126</v>
      </c>
      <c r="F14" s="16">
        <v>7</v>
      </c>
    </row>
    <row r="15" spans="1:6" ht="26">
      <c r="A15" s="8">
        <v>7611103495</v>
      </c>
      <c r="B15" s="9" t="s">
        <v>153</v>
      </c>
      <c r="C15" t="s">
        <v>45</v>
      </c>
      <c r="D15" t="s">
        <v>15</v>
      </c>
      <c r="E15" t="s">
        <v>126</v>
      </c>
      <c r="F15" s="16">
        <v>13</v>
      </c>
    </row>
    <row r="16" spans="1:6" ht="52">
      <c r="A16" s="8">
        <v>7600112932</v>
      </c>
      <c r="B16" s="9" t="s">
        <v>154</v>
      </c>
      <c r="C16" t="s">
        <v>45</v>
      </c>
      <c r="D16" t="s">
        <v>15</v>
      </c>
      <c r="E16" t="s">
        <v>126</v>
      </c>
      <c r="F16" s="16">
        <v>8</v>
      </c>
    </row>
    <row r="17" spans="1:6" ht="26">
      <c r="A17" s="8">
        <v>7600103956</v>
      </c>
      <c r="B17" s="9" t="s">
        <v>155</v>
      </c>
      <c r="C17" t="s">
        <v>45</v>
      </c>
      <c r="D17" t="s">
        <v>15</v>
      </c>
      <c r="E17" t="s">
        <v>126</v>
      </c>
      <c r="F17" s="16">
        <v>48</v>
      </c>
    </row>
    <row r="18" spans="1:6" ht="26">
      <c r="A18" s="8">
        <v>7600103959</v>
      </c>
      <c r="B18" s="9" t="s">
        <v>156</v>
      </c>
      <c r="C18" t="s">
        <v>45</v>
      </c>
      <c r="D18" t="s">
        <v>15</v>
      </c>
      <c r="E18" t="s">
        <v>126</v>
      </c>
      <c r="F18" s="16">
        <v>38</v>
      </c>
    </row>
    <row r="19" spans="1:6" ht="26">
      <c r="A19" s="8">
        <v>7600103957</v>
      </c>
      <c r="B19" s="9" t="s">
        <v>157</v>
      </c>
      <c r="C19" t="s">
        <v>45</v>
      </c>
      <c r="D19" t="s">
        <v>15</v>
      </c>
      <c r="E19" t="s">
        <v>126</v>
      </c>
      <c r="F19" s="16">
        <v>7</v>
      </c>
    </row>
    <row r="20" spans="1:6" ht="26">
      <c r="A20" s="8">
        <v>7600102523</v>
      </c>
      <c r="B20" s="9" t="s">
        <v>158</v>
      </c>
      <c r="C20" t="s">
        <v>45</v>
      </c>
      <c r="D20" t="s">
        <v>15</v>
      </c>
      <c r="E20" t="s">
        <v>126</v>
      </c>
      <c r="F20" s="16">
        <v>7</v>
      </c>
    </row>
    <row r="21" spans="1:6" ht="26">
      <c r="A21" s="8">
        <v>7600100037</v>
      </c>
      <c r="B21" s="9" t="s">
        <v>159</v>
      </c>
      <c r="C21" t="s">
        <v>45</v>
      </c>
      <c r="D21" t="s">
        <v>15</v>
      </c>
      <c r="E21" t="s">
        <v>126</v>
      </c>
      <c r="F21" s="16">
        <v>5</v>
      </c>
    </row>
    <row r="22" spans="1:6" ht="39">
      <c r="A22" s="8">
        <v>7600104064</v>
      </c>
      <c r="B22" s="9" t="s">
        <v>160</v>
      </c>
      <c r="C22" t="s">
        <v>45</v>
      </c>
      <c r="D22" t="s">
        <v>15</v>
      </c>
      <c r="E22" t="s">
        <v>126</v>
      </c>
      <c r="F22" s="16">
        <v>11</v>
      </c>
    </row>
    <row r="23" spans="1:6" ht="39">
      <c r="A23" s="8">
        <v>7600103609</v>
      </c>
      <c r="B23" s="9" t="s">
        <v>161</v>
      </c>
      <c r="C23" t="s">
        <v>45</v>
      </c>
      <c r="D23" t="s">
        <v>15</v>
      </c>
      <c r="E23" t="s">
        <v>126</v>
      </c>
      <c r="F23" s="16">
        <v>37</v>
      </c>
    </row>
    <row r="24" spans="1:6" ht="14.5">
      <c r="A24" s="8">
        <v>7600109597</v>
      </c>
      <c r="B24" s="9" t="s">
        <v>162</v>
      </c>
      <c r="C24" t="s">
        <v>45</v>
      </c>
      <c r="D24" t="s">
        <v>15</v>
      </c>
      <c r="E24" t="s">
        <v>126</v>
      </c>
      <c r="F24" s="16">
        <v>5</v>
      </c>
    </row>
    <row r="25" spans="1:6" ht="26">
      <c r="A25" s="8">
        <v>7600112124</v>
      </c>
      <c r="B25" s="9" t="s">
        <v>163</v>
      </c>
      <c r="C25" t="s">
        <v>45</v>
      </c>
      <c r="D25" t="s">
        <v>15</v>
      </c>
      <c r="E25" t="s">
        <v>126</v>
      </c>
      <c r="F25" s="16">
        <v>5</v>
      </c>
    </row>
    <row r="26" spans="1:6" ht="14.5">
      <c r="A26" s="8">
        <v>7600100803</v>
      </c>
      <c r="B26" s="9" t="s">
        <v>164</v>
      </c>
      <c r="C26" t="s">
        <v>45</v>
      </c>
      <c r="D26" t="s">
        <v>15</v>
      </c>
      <c r="E26" t="s">
        <v>126</v>
      </c>
      <c r="F26" s="16">
        <v>14</v>
      </c>
    </row>
    <row r="27" spans="1:6" ht="14.5">
      <c r="A27" s="8">
        <v>7600100294</v>
      </c>
      <c r="B27" s="9" t="s">
        <v>165</v>
      </c>
      <c r="C27" t="s">
        <v>45</v>
      </c>
      <c r="D27" t="s">
        <v>15</v>
      </c>
      <c r="E27" t="s">
        <v>126</v>
      </c>
      <c r="F27" s="16">
        <v>8</v>
      </c>
    </row>
    <row r="28" spans="1:6" ht="26">
      <c r="A28" s="8">
        <v>7600105205</v>
      </c>
      <c r="B28" s="9" t="s">
        <v>166</v>
      </c>
      <c r="C28" t="s">
        <v>45</v>
      </c>
      <c r="D28" t="s">
        <v>15</v>
      </c>
      <c r="E28" t="s">
        <v>126</v>
      </c>
      <c r="F28" s="16">
        <v>8</v>
      </c>
    </row>
    <row r="29" spans="1:6" ht="14.5">
      <c r="A29" s="8">
        <v>1100109456</v>
      </c>
      <c r="B29" s="9" t="s">
        <v>167</v>
      </c>
      <c r="C29" t="s">
        <v>45</v>
      </c>
      <c r="D29" t="s">
        <v>15</v>
      </c>
      <c r="E29" t="s">
        <v>126</v>
      </c>
      <c r="F29" s="16">
        <v>12</v>
      </c>
    </row>
    <row r="30" spans="1:6" ht="26">
      <c r="A30" s="8">
        <v>5200101102</v>
      </c>
      <c r="B30" s="9" t="s">
        <v>168</v>
      </c>
      <c r="C30" t="s">
        <v>45</v>
      </c>
      <c r="D30" t="s">
        <v>15</v>
      </c>
      <c r="E30" t="s">
        <v>126</v>
      </c>
      <c r="F30" s="16">
        <v>6</v>
      </c>
    </row>
    <row r="31" spans="1:6" ht="14.5">
      <c r="A31" s="8">
        <v>5200100283</v>
      </c>
      <c r="B31" s="9" t="s">
        <v>169</v>
      </c>
      <c r="C31" t="s">
        <v>45</v>
      </c>
      <c r="D31" t="s">
        <v>15</v>
      </c>
      <c r="E31" t="s">
        <v>126</v>
      </c>
      <c r="F31" s="16">
        <v>1</v>
      </c>
    </row>
    <row r="32" spans="1:6" ht="26">
      <c r="A32" s="8">
        <v>7600103799</v>
      </c>
      <c r="B32" s="9" t="s">
        <v>170</v>
      </c>
      <c r="C32" t="s">
        <v>45</v>
      </c>
      <c r="D32" t="s">
        <v>15</v>
      </c>
      <c r="E32" t="s">
        <v>126</v>
      </c>
      <c r="F32" s="16">
        <v>24</v>
      </c>
    </row>
  </sheetData>
  <sheetProtection/>
  <autoFilter ref="A1:G32"/>
  <dataValidations count="6">
    <dataValidation type="list" allowBlank="1" sqref="D2:D32">
      <formula1>"Pregrado,Posgrado"</formula1>
    </dataValidation>
    <dataValidation type="list" allowBlank="1" sqref="D33:D499">
      <formula1>"Pregrado,Posgrado"</formula1>
    </dataValidation>
    <dataValidation type="whole" operator="greaterThanOrEqual" allowBlank="1" errorTitle="Validación" error="Valor inválido. Debe ser entero &gt;= 0." sqref="F2:F32">
      <formula1>0</formula1>
    </dataValidation>
    <dataValidation type="whole" operator="greaterThanOrEqual" allowBlank="1" errorTitle="Validación" error="Valor inválido. Debe ser entero &gt;= 0." sqref="F33:F499">
      <formula1>0</formula1>
    </dataValidation>
    <dataValidation type="whole" operator="greaterThanOrEqual" allowBlank="1" errorTitle="Validación" error="Valor inválido. Debe ser entero &gt;= 0." sqref="S2:W32">
      <formula1>0</formula1>
    </dataValidation>
    <dataValidation type="whole" operator="greaterThanOrEqual" allowBlank="1" errorTitle="Validación" error="Valor inválido. Debe ser entero &gt;= 0." sqref="S33:W199">
      <formula1>0</formula1>
    </dataValidation>
  </dataValidations>
  <pageMargins left="0.75" right="0.75" top="1" bottom="1" header="0.5" footer="0.5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8.81428571428571" defaultRowHeight="14.5"/>
  <cols>
    <col min="1" max="1" width="16" style="8" customWidth="1"/>
    <col min="2" max="2" width="31.4285714285714" style="9" customWidth="1"/>
    <col min="3" max="3" width="48" style="6" customWidth="1"/>
    <col min="4" max="4" width="35" style="6" customWidth="1"/>
    <col min="5" max="5" width="22" style="5" customWidth="1"/>
    <col min="6" max="6" width="37" style="5" customWidth="1"/>
    <col min="7" max="7" width="25" style="5" customWidth="1"/>
    <col min="8" max="8" width="23" style="6" customWidth="1"/>
    <col min="9" max="9" width="44" style="6" hidden="1" customWidth="1"/>
    <col min="10" max="10" width="24" style="6" customWidth="1"/>
    <col min="11" max="11" width="45" style="5" hidden="1" customWidth="1"/>
    <col min="12" max="12" width="33" style="5" customWidth="1"/>
    <col min="13" max="13" width="28" style="5" customWidth="1"/>
    <col min="14" max="14" width="30" style="5" customWidth="1"/>
    <col min="15" max="15" width="36" style="5" customWidth="1"/>
    <col min="16" max="16" width="23" style="5" customWidth="1"/>
    <col min="17" max="17" width="32" style="5" customWidth="1"/>
    <col min="18" max="19" width="21" style="5" customWidth="1"/>
    <col min="20" max="20" width="35" style="5" customWidth="1"/>
    <col min="21" max="16384" width="8.85714285714286" style="5"/>
  </cols>
  <sheetData>
    <row r="1" spans="1:20" ht="34" customHeight="1">
      <c r="A1" s="7" t="s">
        <v>61</v>
      </c>
      <c r="B1" s="7" t="s">
        <v>62</v>
      </c>
      <c r="C1" s="1" t="s">
        <v>90</v>
      </c>
      <c r="D1" s="1" t="s">
        <v>91</v>
      </c>
      <c r="E1" s="12" t="s">
        <v>92</v>
      </c>
      <c r="F1" s="12" t="s">
        <v>93</v>
      </c>
      <c r="G1" s="12" t="s">
        <v>28</v>
      </c>
      <c r="H1" s="1" t="s">
        <v>94</v>
      </c>
      <c r="I1" s="12" t="s">
        <v>95</v>
      </c>
      <c r="J1" s="1" t="s">
        <v>96</v>
      </c>
      <c r="K1" s="12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81</v>
      </c>
      <c r="R1" s="1" t="s">
        <v>82</v>
      </c>
      <c r="S1" s="1" t="s">
        <v>83</v>
      </c>
      <c r="T1" s="1" t="s">
        <v>84</v>
      </c>
    </row>
    <row r="2" spans="1:10" ht="14.5">
      <c r="A2" s="8">
        <v>7600103715</v>
      </c>
      <c r="B2" s="9" t="s">
        <v>140</v>
      </c>
      <c r="C2" s="6">
        <v>3</v>
      </c>
      <c r="D2" s="6" t="s">
        <v>12</v>
      </c>
      <c r="F2" s="5">
        <v>3</v>
      </c>
      <c r="H2" s="6">
        <v>1</v>
      </c>
      <c r="J2" s="6">
        <v>1</v>
      </c>
    </row>
    <row r="3" spans="1:10" ht="14.5">
      <c r="A3" s="8" t="s">
        <v>171</v>
      </c>
      <c r="B3" s="9" t="s">
        <v>141</v>
      </c>
      <c r="C3" s="6">
        <v>5</v>
      </c>
      <c r="D3" s="6" t="s">
        <v>13</v>
      </c>
      <c r="F3" s="5">
        <v>5</v>
      </c>
      <c r="G3" s="5" t="s">
        <v>31</v>
      </c>
      <c r="H3" s="6">
        <v>1</v>
      </c>
      <c r="J3" s="6">
        <v>1</v>
      </c>
    </row>
    <row r="4" spans="1:10" ht="26">
      <c r="A4" s="8">
        <v>7600102541</v>
      </c>
      <c r="B4" s="9" t="s">
        <v>142</v>
      </c>
      <c r="C4" s="6">
        <v>3</v>
      </c>
      <c r="D4" s="6" t="s">
        <v>13</v>
      </c>
      <c r="F4" s="5">
        <v>3</v>
      </c>
      <c r="G4" s="5" t="s">
        <v>32</v>
      </c>
      <c r="H4" s="6">
        <v>0</v>
      </c>
      <c r="J4" s="6">
        <v>1</v>
      </c>
    </row>
    <row r="5" spans="1:10" ht="14.5">
      <c r="A5" s="8">
        <v>7600103359</v>
      </c>
      <c r="B5" s="9" t="s">
        <v>143</v>
      </c>
      <c r="C5" s="6">
        <v>3</v>
      </c>
      <c r="D5" s="6" t="s">
        <v>12</v>
      </c>
      <c r="F5" s="5">
        <v>3</v>
      </c>
      <c r="G5" s="5" t="s">
        <v>32</v>
      </c>
      <c r="H5" s="6">
        <v>1</v>
      </c>
      <c r="J5" s="6">
        <v>1</v>
      </c>
    </row>
    <row r="6" spans="1:10" ht="14.5">
      <c r="A6" s="8">
        <v>7600108077</v>
      </c>
      <c r="B6" s="9" t="s">
        <v>144</v>
      </c>
      <c r="C6" s="6">
        <v>1</v>
      </c>
      <c r="D6" s="6" t="s">
        <v>12</v>
      </c>
      <c r="F6" s="5">
        <v>0</v>
      </c>
      <c r="H6" s="6">
        <v>1</v>
      </c>
      <c r="J6" s="6">
        <v>1</v>
      </c>
    </row>
    <row r="7" spans="1:10" ht="14.5">
      <c r="A7" s="8">
        <v>7600111592</v>
      </c>
      <c r="B7" s="9" t="s">
        <v>145</v>
      </c>
      <c r="C7" s="6">
        <v>3</v>
      </c>
      <c r="D7" s="6" t="s">
        <v>13</v>
      </c>
      <c r="F7" s="5">
        <v>3</v>
      </c>
      <c r="G7" s="5" t="s">
        <v>32</v>
      </c>
      <c r="H7" s="6">
        <v>0</v>
      </c>
      <c r="J7" s="6">
        <v>1</v>
      </c>
    </row>
    <row r="8" spans="1:10" ht="26">
      <c r="A8" s="8">
        <v>7636403314</v>
      </c>
      <c r="B8" s="9" t="s">
        <v>146</v>
      </c>
      <c r="C8" s="6">
        <v>1</v>
      </c>
      <c r="D8" s="6" t="s">
        <v>12</v>
      </c>
      <c r="F8" s="5">
        <v>0</v>
      </c>
      <c r="H8" s="6">
        <v>1</v>
      </c>
      <c r="J8" s="6">
        <v>1</v>
      </c>
    </row>
    <row r="9" spans="1:10" ht="26">
      <c r="A9" s="8">
        <v>7652009397</v>
      </c>
      <c r="B9" s="9" t="s">
        <v>147</v>
      </c>
      <c r="C9" s="6">
        <v>3</v>
      </c>
      <c r="D9" s="6" t="s">
        <v>13</v>
      </c>
      <c r="F9" s="5">
        <v>3</v>
      </c>
      <c r="G9" s="5" t="s">
        <v>32</v>
      </c>
      <c r="H9" s="6">
        <v>0</v>
      </c>
      <c r="J9" s="6">
        <v>0</v>
      </c>
    </row>
    <row r="10" spans="1:10" ht="14.5">
      <c r="A10" s="8">
        <v>7600105765</v>
      </c>
      <c r="B10" s="9" t="s">
        <v>148</v>
      </c>
      <c r="C10" s="6">
        <v>3</v>
      </c>
      <c r="D10" s="6" t="s">
        <v>13</v>
      </c>
      <c r="F10" s="5">
        <v>3</v>
      </c>
      <c r="G10" s="5" t="s">
        <v>32</v>
      </c>
      <c r="H10" s="6">
        <v>0</v>
      </c>
      <c r="J10" s="6">
        <v>1</v>
      </c>
    </row>
    <row r="11" spans="1:10" ht="14.5">
      <c r="A11" s="8">
        <v>7652002273</v>
      </c>
      <c r="B11" s="9" t="s">
        <v>149</v>
      </c>
      <c r="C11" s="6">
        <v>3</v>
      </c>
      <c r="D11" s="6" t="s">
        <v>13</v>
      </c>
      <c r="F11" s="5">
        <v>3</v>
      </c>
      <c r="G11" s="5" t="s">
        <v>32</v>
      </c>
      <c r="H11" s="6">
        <v>1</v>
      </c>
      <c r="J11" s="6">
        <v>1</v>
      </c>
    </row>
    <row r="12" spans="1:10" ht="39">
      <c r="A12" s="8">
        <v>7600103954</v>
      </c>
      <c r="B12" s="9" t="s">
        <v>150</v>
      </c>
      <c r="C12" s="6">
        <v>3</v>
      </c>
      <c r="D12" s="6" t="s">
        <v>12</v>
      </c>
      <c r="F12" s="5">
        <v>3</v>
      </c>
      <c r="G12" s="5" t="s">
        <v>32</v>
      </c>
      <c r="H12" s="6">
        <v>0</v>
      </c>
      <c r="J12" s="6">
        <v>1</v>
      </c>
    </row>
    <row r="13" spans="1:10" ht="26">
      <c r="A13" s="8">
        <v>7600101125</v>
      </c>
      <c r="B13" s="9" t="s">
        <v>151</v>
      </c>
      <c r="C13" s="6">
        <v>3</v>
      </c>
      <c r="D13" s="6" t="s">
        <v>13</v>
      </c>
      <c r="F13" s="5">
        <v>3</v>
      </c>
      <c r="G13" s="5" t="s">
        <v>32</v>
      </c>
      <c r="H13" s="6">
        <v>1</v>
      </c>
      <c r="J13" s="6">
        <v>1</v>
      </c>
    </row>
    <row r="14" spans="1:10" ht="14.5">
      <c r="A14" s="8">
        <v>7600101111</v>
      </c>
      <c r="B14" s="9" t="s">
        <v>152</v>
      </c>
      <c r="C14" s="6">
        <v>3</v>
      </c>
      <c r="D14" s="6" t="s">
        <v>13</v>
      </c>
      <c r="F14" s="5">
        <v>3</v>
      </c>
      <c r="G14" s="5" t="s">
        <v>32</v>
      </c>
      <c r="H14" s="6">
        <v>0</v>
      </c>
      <c r="J14" s="6">
        <v>1</v>
      </c>
    </row>
    <row r="15" spans="1:10" ht="26">
      <c r="A15" s="8">
        <v>7611103495</v>
      </c>
      <c r="B15" s="9" t="s">
        <v>153</v>
      </c>
      <c r="C15" s="6">
        <v>3</v>
      </c>
      <c r="D15" s="6" t="s">
        <v>13</v>
      </c>
      <c r="F15" s="5">
        <v>3</v>
      </c>
      <c r="G15" s="5" t="s">
        <v>32</v>
      </c>
      <c r="H15" s="6">
        <v>1</v>
      </c>
      <c r="J15" s="6">
        <v>1</v>
      </c>
    </row>
    <row r="16" spans="1:10" ht="52">
      <c r="A16" s="8">
        <v>7600112932</v>
      </c>
      <c r="B16" s="9" t="s">
        <v>154</v>
      </c>
      <c r="C16" s="6">
        <v>5</v>
      </c>
      <c r="D16" s="6" t="s">
        <v>13</v>
      </c>
      <c r="F16" s="5">
        <v>5</v>
      </c>
      <c r="G16" s="5" t="s">
        <v>31</v>
      </c>
      <c r="H16" s="6">
        <v>1</v>
      </c>
      <c r="J16" s="6">
        <v>1</v>
      </c>
    </row>
    <row r="17" spans="1:10" ht="26">
      <c r="A17" s="8">
        <v>7600103956</v>
      </c>
      <c r="B17" s="9" t="s">
        <v>155</v>
      </c>
      <c r="C17" s="6">
        <v>1</v>
      </c>
      <c r="D17" s="6" t="s">
        <v>12</v>
      </c>
      <c r="F17" s="5">
        <v>0</v>
      </c>
      <c r="H17" s="6">
        <v>0</v>
      </c>
      <c r="J17" s="6">
        <v>1</v>
      </c>
    </row>
    <row r="18" spans="1:10" ht="26">
      <c r="A18" s="8">
        <v>7600103959</v>
      </c>
      <c r="B18" s="9" t="s">
        <v>156</v>
      </c>
      <c r="C18" s="6">
        <v>1</v>
      </c>
      <c r="D18" s="6" t="s">
        <v>12</v>
      </c>
      <c r="F18" s="5">
        <v>0</v>
      </c>
      <c r="H18" s="6">
        <v>0</v>
      </c>
      <c r="J18" s="6">
        <v>1</v>
      </c>
    </row>
    <row r="19" spans="1:10" ht="26">
      <c r="A19" s="8">
        <v>7600103957</v>
      </c>
      <c r="B19" s="9" t="s">
        <v>157</v>
      </c>
      <c r="C19" s="6">
        <v>1</v>
      </c>
      <c r="D19" s="6" t="s">
        <v>12</v>
      </c>
      <c r="F19" s="5">
        <v>0</v>
      </c>
      <c r="H19" s="6">
        <v>0</v>
      </c>
      <c r="J19" s="6">
        <v>0</v>
      </c>
    </row>
    <row r="20" spans="1:10" ht="26">
      <c r="A20" s="8">
        <v>7600102523</v>
      </c>
      <c r="B20" s="9" t="s">
        <v>158</v>
      </c>
      <c r="C20" s="6">
        <v>1</v>
      </c>
      <c r="D20" s="6" t="s">
        <v>12</v>
      </c>
      <c r="F20" s="5">
        <v>0</v>
      </c>
      <c r="H20" s="6">
        <v>0</v>
      </c>
      <c r="J20" s="6">
        <v>0</v>
      </c>
    </row>
    <row r="21" spans="1:10" ht="26">
      <c r="A21" s="8">
        <v>7600100037</v>
      </c>
      <c r="B21" s="9" t="s">
        <v>159</v>
      </c>
      <c r="C21" s="6">
        <v>1</v>
      </c>
      <c r="D21" s="6" t="s">
        <v>13</v>
      </c>
      <c r="F21" s="5">
        <v>0</v>
      </c>
      <c r="H21" s="6">
        <v>0</v>
      </c>
      <c r="J21" s="6">
        <v>0</v>
      </c>
    </row>
    <row r="22" spans="1:10" ht="39">
      <c r="A22" s="8">
        <v>7600104064</v>
      </c>
      <c r="B22" s="9" t="s">
        <v>160</v>
      </c>
      <c r="C22" s="6">
        <v>1</v>
      </c>
      <c r="D22" s="6" t="s">
        <v>13</v>
      </c>
      <c r="F22" s="5">
        <v>0</v>
      </c>
      <c r="H22" s="6">
        <v>0</v>
      </c>
      <c r="J22" s="6">
        <v>0</v>
      </c>
    </row>
    <row r="23" spans="1:10" ht="39">
      <c r="A23" s="8">
        <v>7600103609</v>
      </c>
      <c r="B23" s="9" t="s">
        <v>161</v>
      </c>
      <c r="C23" s="6">
        <v>5</v>
      </c>
      <c r="D23" s="6" t="s">
        <v>13</v>
      </c>
      <c r="F23" s="5">
        <v>5</v>
      </c>
      <c r="G23" s="5" t="s">
        <v>31</v>
      </c>
      <c r="H23" s="6">
        <v>1</v>
      </c>
      <c r="J23" s="6">
        <v>1</v>
      </c>
    </row>
    <row r="24" spans="1:10" ht="14.5">
      <c r="A24" s="8">
        <v>7600109597</v>
      </c>
      <c r="B24" s="9" t="s">
        <v>162</v>
      </c>
      <c r="C24" s="6">
        <v>1</v>
      </c>
      <c r="D24" s="6" t="s">
        <v>13</v>
      </c>
      <c r="F24" s="5">
        <v>0</v>
      </c>
      <c r="H24" s="6">
        <v>0</v>
      </c>
      <c r="J24" s="6">
        <v>0</v>
      </c>
    </row>
    <row r="25" spans="1:10" ht="26">
      <c r="A25" s="8">
        <v>7600112124</v>
      </c>
      <c r="B25" s="9" t="s">
        <v>163</v>
      </c>
      <c r="C25" s="6">
        <v>1</v>
      </c>
      <c r="D25" s="6" t="s">
        <v>13</v>
      </c>
      <c r="F25" s="5">
        <v>0</v>
      </c>
      <c r="H25" s="6">
        <v>0</v>
      </c>
      <c r="J25" s="6">
        <v>0</v>
      </c>
    </row>
    <row r="26" spans="1:10" ht="14.5">
      <c r="A26" s="8">
        <v>7600100803</v>
      </c>
      <c r="B26" s="9" t="s">
        <v>164</v>
      </c>
      <c r="C26" s="6">
        <v>1</v>
      </c>
      <c r="D26" s="6" t="s">
        <v>13</v>
      </c>
      <c r="F26" s="5">
        <v>0</v>
      </c>
      <c r="H26" s="6">
        <v>0</v>
      </c>
      <c r="J26" s="6">
        <v>1</v>
      </c>
    </row>
    <row r="27" spans="1:10" ht="14.5">
      <c r="A27" s="8">
        <v>7600100294</v>
      </c>
      <c r="B27" s="9" t="s">
        <v>165</v>
      </c>
      <c r="C27" s="6">
        <v>1</v>
      </c>
      <c r="D27" s="6" t="s">
        <v>13</v>
      </c>
      <c r="F27" s="5">
        <v>0</v>
      </c>
      <c r="H27" s="6">
        <v>0</v>
      </c>
      <c r="J27" s="6">
        <v>1</v>
      </c>
    </row>
    <row r="28" spans="1:10" ht="26">
      <c r="A28" s="8">
        <v>7600105205</v>
      </c>
      <c r="B28" s="9" t="s">
        <v>166</v>
      </c>
      <c r="C28" s="6">
        <v>1</v>
      </c>
      <c r="D28" s="6" t="s">
        <v>13</v>
      </c>
      <c r="F28" s="5">
        <v>0</v>
      </c>
      <c r="H28" s="6">
        <v>1</v>
      </c>
      <c r="J28" s="6">
        <v>1</v>
      </c>
    </row>
    <row r="29" spans="1:10" ht="14.5">
      <c r="A29" s="8">
        <v>1100109456</v>
      </c>
      <c r="B29" s="9" t="s">
        <v>167</v>
      </c>
      <c r="C29" s="6">
        <v>5</v>
      </c>
      <c r="D29" s="6" t="s">
        <v>13</v>
      </c>
      <c r="F29" s="5">
        <v>5</v>
      </c>
      <c r="G29" s="5" t="s">
        <v>31</v>
      </c>
      <c r="H29" s="6">
        <v>1</v>
      </c>
      <c r="J29" s="6">
        <v>1</v>
      </c>
    </row>
    <row r="30" spans="1:10" ht="26">
      <c r="A30" s="8">
        <v>5200101102</v>
      </c>
      <c r="B30" s="9" t="s">
        <v>168</v>
      </c>
      <c r="C30" s="6">
        <v>5</v>
      </c>
      <c r="D30" s="6" t="s">
        <v>13</v>
      </c>
      <c r="F30" s="5">
        <v>5</v>
      </c>
      <c r="G30" s="5" t="s">
        <v>31</v>
      </c>
      <c r="H30" s="6">
        <v>0</v>
      </c>
      <c r="J30" s="6">
        <v>1</v>
      </c>
    </row>
    <row r="31" spans="1:10" ht="14.5">
      <c r="A31" s="8">
        <v>5200100283</v>
      </c>
      <c r="B31" s="9" t="s">
        <v>169</v>
      </c>
      <c r="C31" s="6">
        <v>5</v>
      </c>
      <c r="D31" s="6" t="s">
        <v>13</v>
      </c>
      <c r="F31" s="5">
        <v>5</v>
      </c>
      <c r="G31" s="5" t="s">
        <v>31</v>
      </c>
      <c r="H31" s="6">
        <v>1</v>
      </c>
      <c r="J31" s="6">
        <v>1</v>
      </c>
    </row>
    <row r="32" spans="1:10" ht="26">
      <c r="A32" s="8">
        <v>7600103799</v>
      </c>
      <c r="B32" s="9" t="s">
        <v>170</v>
      </c>
      <c r="C32" s="6">
        <v>5</v>
      </c>
      <c r="D32" s="6" t="s">
        <v>12</v>
      </c>
      <c r="F32" s="5">
        <v>5</v>
      </c>
      <c r="G32" s="5" t="s">
        <v>31</v>
      </c>
      <c r="H32" s="6">
        <v>1</v>
      </c>
      <c r="J32" s="6">
        <v>1</v>
      </c>
    </row>
    <row r="33" spans="1:10" ht="14.5">
      <c r="A33" s="8" t="s">
        <v>173</v>
      </c>
      <c r="B33" s="9" t="s">
        <v>172</v>
      </c>
      <c r="H33" s="6">
        <v>0</v>
      </c>
      <c r="J33" s="6">
        <v>1</v>
      </c>
    </row>
  </sheetData>
  <sheetProtection/>
  <autoFilter ref="A1:T33"/>
  <dataValidations count="8">
    <dataValidation type="list" allowBlank="1" sqref="C2:C300">
      <formula1>"1,2,3,4,5"</formula1>
    </dataValidation>
    <dataValidation type="list" allowBlank="1" sqref="D2:D300">
      <formula1>"Sí,No"</formula1>
    </dataValidation>
    <dataValidation type="list" allowBlank="1" sqref="F2:F300">
      <formula1>"0,1,2,3,4,5"</formula1>
    </dataValidation>
    <dataValidation type="list" allowBlank="1" sqref="G2:G300">
      <formula1>"Por rotación,Mensual,Semestral,Anual"</formula1>
    </dataValidation>
    <dataValidation type="list" allowBlank="1" sqref="H2:H300">
      <formula1>"0,1"</formula1>
    </dataValidation>
    <dataValidation type="list" allowBlank="1" sqref="J2:J300">
      <formula1>"0,1"</formula1>
    </dataValidation>
    <dataValidation type="decimal" allowBlank="1" errorTitle="Validación" error="Valor inválido. Debe estar entre 0 y 100." sqref="G2:G800">
      <formula1>0</formula1>
      <formula2>100</formula2>
    </dataValidation>
    <dataValidation type="decimal" allowBlank="1" errorTitle="Validación" error="Valor inválido. Debe estar entre 0 y 100." sqref="L2:O300">
      <formula1>0</formula1>
      <formula2>100</formula2>
    </dataValidation>
  </dataValidations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zoomScale="90" zoomScaleNormal="90" workbookViewId="0" topLeftCell="A1">
      <pane xSplit="3" ySplit="1" topLeftCell="D2" activePane="bottomRight" state="frozen"/>
      <selection pane="topLeft" activeCell="A1" sqref="A1"/>
      <selection pane="bottomLeft" activeCell="A2" sqref="A2"/>
      <selection pane="topRight" activeCell="D1" sqref="D1"/>
      <selection pane="bottomRight" activeCell="D2" sqref="D2"/>
    </sheetView>
  </sheetViews>
  <sheetFormatPr defaultColWidth="8.81428571428571" defaultRowHeight="14.5"/>
  <cols>
    <col min="1" max="1" width="16" style="8" customWidth="1"/>
    <col min="2" max="2" width="31.4285714285714" style="9" customWidth="1"/>
    <col min="3" max="3" width="16" customWidth="1"/>
    <col min="4" max="4" width="23" style="6" customWidth="1"/>
    <col min="5" max="5" width="25.2857142857143" style="6" bestFit="1" customWidth="1"/>
    <col min="6" max="6" width="28" style="6" customWidth="1"/>
    <col min="7" max="7" width="38" style="6" customWidth="1"/>
    <col min="8" max="8" width="55" style="6" customWidth="1"/>
    <col min="9" max="9" width="45" style="6" customWidth="1"/>
    <col min="10" max="10" width="21" style="6" customWidth="1"/>
    <col min="11" max="11" width="32" style="6" customWidth="1"/>
  </cols>
  <sheetData>
    <row r="1" spans="1:11" ht="34" customHeight="1">
      <c r="A1" s="7" t="s">
        <v>61</v>
      </c>
      <c r="B1" s="7" t="s">
        <v>62</v>
      </c>
      <c r="C1" s="12" t="s">
        <v>44</v>
      </c>
      <c r="D1" s="1" t="s">
        <v>49</v>
      </c>
      <c r="E1" s="1" t="s">
        <v>50</v>
      </c>
      <c r="F1" s="12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81</v>
      </c>
    </row>
    <row r="2" spans="1:9" ht="14.5">
      <c r="A2" s="8">
        <v>7600103715</v>
      </c>
      <c r="B2" s="9" t="s">
        <v>140</v>
      </c>
      <c r="D2" s="6" t="s">
        <v>15</v>
      </c>
      <c r="E2" s="6" t="s">
        <v>51</v>
      </c>
      <c r="G2" s="6">
        <v>15</v>
      </c>
      <c r="H2" s="6" t="s">
        <v>56</v>
      </c>
      <c r="I2" s="6" t="s">
        <v>59</v>
      </c>
    </row>
    <row r="3" spans="1:9" ht="14.5">
      <c r="A3" s="8">
        <v>7600103715</v>
      </c>
      <c r="B3" s="9" t="s">
        <v>140</v>
      </c>
      <c r="D3" s="6" t="s">
        <v>15</v>
      </c>
      <c r="E3" s="6" t="s">
        <v>52</v>
      </c>
      <c r="G3" s="6">
        <v>20</v>
      </c>
      <c r="H3" s="6" t="s">
        <v>56</v>
      </c>
      <c r="I3" s="6" t="s">
        <v>59</v>
      </c>
    </row>
    <row r="4" spans="1:9" ht="14.5">
      <c r="A4" s="8">
        <v>7600103715</v>
      </c>
      <c r="B4" s="9" t="s">
        <v>140</v>
      </c>
      <c r="D4" s="6" t="s">
        <v>16</v>
      </c>
      <c r="E4" s="6" t="s">
        <v>53</v>
      </c>
      <c r="G4" s="6">
        <v>30</v>
      </c>
      <c r="H4" s="6" t="s">
        <v>56</v>
      </c>
      <c r="I4" s="6" t="s">
        <v>59</v>
      </c>
    </row>
    <row r="5" spans="1:9" ht="14.5">
      <c r="A5" s="8" t="s">
        <v>171</v>
      </c>
      <c r="B5" s="9" t="s">
        <v>141</v>
      </c>
      <c r="D5" s="6" t="s">
        <v>15</v>
      </c>
      <c r="E5" s="6" t="s">
        <v>52</v>
      </c>
      <c r="G5" s="6">
        <v>50</v>
      </c>
      <c r="H5" s="6" t="s">
        <v>55</v>
      </c>
      <c r="I5" s="6" t="s">
        <v>59</v>
      </c>
    </row>
    <row r="6" spans="1:9" ht="14.5">
      <c r="A6" s="8" t="s">
        <v>171</v>
      </c>
      <c r="B6" s="9" t="s">
        <v>141</v>
      </c>
      <c r="D6" s="6" t="s">
        <v>16</v>
      </c>
      <c r="E6" s="6" t="s">
        <v>53</v>
      </c>
      <c r="G6" s="6">
        <v>50</v>
      </c>
      <c r="H6" s="6" t="s">
        <v>55</v>
      </c>
      <c r="I6" s="6" t="s">
        <v>59</v>
      </c>
    </row>
    <row r="7" spans="1:9" ht="26">
      <c r="A7" s="8">
        <v>7600102541</v>
      </c>
      <c r="B7" s="9" t="s">
        <v>142</v>
      </c>
      <c r="D7" s="6" t="s">
        <v>15</v>
      </c>
      <c r="E7" s="6" t="s">
        <v>51</v>
      </c>
      <c r="G7" s="6">
        <v>15</v>
      </c>
      <c r="H7" s="6" t="s">
        <v>56</v>
      </c>
      <c r="I7" s="6" t="s">
        <v>59</v>
      </c>
    </row>
    <row r="8" spans="1:9" ht="26">
      <c r="A8" s="8">
        <v>7600102541</v>
      </c>
      <c r="B8" s="9" t="s">
        <v>142</v>
      </c>
      <c r="D8" s="6" t="s">
        <v>15</v>
      </c>
      <c r="E8" s="6" t="s">
        <v>52</v>
      </c>
      <c r="G8" s="6">
        <v>20</v>
      </c>
      <c r="H8" s="6" t="s">
        <v>56</v>
      </c>
      <c r="I8" s="6" t="s">
        <v>59</v>
      </c>
    </row>
    <row r="9" spans="1:9" ht="26">
      <c r="A9" s="8">
        <v>7600102541</v>
      </c>
      <c r="B9" s="9" t="s">
        <v>142</v>
      </c>
      <c r="D9" s="6" t="s">
        <v>16</v>
      </c>
      <c r="E9" s="6" t="s">
        <v>53</v>
      </c>
      <c r="G9" s="6">
        <v>30</v>
      </c>
      <c r="H9" s="6" t="s">
        <v>56</v>
      </c>
      <c r="I9" s="6" t="s">
        <v>59</v>
      </c>
    </row>
    <row r="10" spans="1:9" ht="14.5">
      <c r="A10" s="8">
        <v>7600103359</v>
      </c>
      <c r="B10" s="9" t="s">
        <v>143</v>
      </c>
      <c r="D10" s="6" t="s">
        <v>15</v>
      </c>
      <c r="E10" s="6" t="s">
        <v>51</v>
      </c>
      <c r="G10" s="6">
        <v>25</v>
      </c>
      <c r="H10" s="6" t="s">
        <v>56</v>
      </c>
      <c r="I10" s="6" t="s">
        <v>60</v>
      </c>
    </row>
    <row r="11" spans="1:9" ht="14.5">
      <c r="A11" s="8">
        <v>7600103359</v>
      </c>
      <c r="B11" s="9" t="s">
        <v>143</v>
      </c>
      <c r="D11" s="6" t="s">
        <v>15</v>
      </c>
      <c r="E11" s="6" t="s">
        <v>52</v>
      </c>
      <c r="G11" s="6">
        <v>25</v>
      </c>
      <c r="H11" s="6" t="s">
        <v>56</v>
      </c>
      <c r="I11" s="6" t="s">
        <v>60</v>
      </c>
    </row>
    <row r="12" spans="1:9" ht="14.5">
      <c r="A12" s="8">
        <v>7600103359</v>
      </c>
      <c r="B12" s="9" t="s">
        <v>143</v>
      </c>
      <c r="D12" s="6" t="s">
        <v>16</v>
      </c>
      <c r="E12" s="6" t="s">
        <v>53</v>
      </c>
      <c r="G12" s="6">
        <v>30</v>
      </c>
      <c r="H12" s="6" t="s">
        <v>56</v>
      </c>
      <c r="I12" s="6" t="s">
        <v>60</v>
      </c>
    </row>
    <row r="13" spans="1:9" ht="14.5">
      <c r="A13" s="8">
        <v>7600108077</v>
      </c>
      <c r="B13" s="9" t="s">
        <v>144</v>
      </c>
      <c r="D13" s="6" t="s">
        <v>15</v>
      </c>
      <c r="E13" s="6" t="s">
        <v>51</v>
      </c>
      <c r="G13" s="6">
        <v>15</v>
      </c>
      <c r="H13" s="6" t="s">
        <v>56</v>
      </c>
      <c r="I13" s="6" t="s">
        <v>59</v>
      </c>
    </row>
    <row r="14" spans="1:9" ht="14.5">
      <c r="A14" s="8">
        <v>7600108077</v>
      </c>
      <c r="B14" s="9" t="s">
        <v>144</v>
      </c>
      <c r="D14" s="6" t="s">
        <v>15</v>
      </c>
      <c r="E14" s="6" t="s">
        <v>52</v>
      </c>
      <c r="G14" s="6">
        <v>20</v>
      </c>
      <c r="H14" s="6" t="s">
        <v>56</v>
      </c>
      <c r="I14" s="6" t="s">
        <v>59</v>
      </c>
    </row>
    <row r="15" spans="1:9" ht="14.5">
      <c r="A15" s="8">
        <v>7600108077</v>
      </c>
      <c r="B15" s="9" t="s">
        <v>144</v>
      </c>
      <c r="D15" s="6" t="s">
        <v>16</v>
      </c>
      <c r="E15" s="6" t="s">
        <v>53</v>
      </c>
      <c r="G15" s="6">
        <v>30</v>
      </c>
      <c r="H15" s="6" t="s">
        <v>56</v>
      </c>
      <c r="I15" s="6" t="s">
        <v>59</v>
      </c>
    </row>
    <row r="16" spans="1:9" ht="14.5">
      <c r="A16" s="8">
        <v>7600111592</v>
      </c>
      <c r="B16" s="9" t="s">
        <v>145</v>
      </c>
      <c r="D16" s="6" t="s">
        <v>15</v>
      </c>
      <c r="E16" s="6" t="s">
        <v>51</v>
      </c>
      <c r="G16" s="6">
        <v>50</v>
      </c>
      <c r="H16" s="6" t="s">
        <v>56</v>
      </c>
      <c r="I16" s="6" t="s">
        <v>59</v>
      </c>
    </row>
    <row r="17" spans="1:9" ht="14.5">
      <c r="A17" s="8">
        <v>7600111592</v>
      </c>
      <c r="B17" s="9" t="s">
        <v>145</v>
      </c>
      <c r="D17" s="6" t="s">
        <v>15</v>
      </c>
      <c r="E17" s="6" t="s">
        <v>52</v>
      </c>
      <c r="G17" s="6">
        <v>50</v>
      </c>
      <c r="H17" s="6" t="s">
        <v>56</v>
      </c>
      <c r="I17" s="6" t="s">
        <v>59</v>
      </c>
    </row>
    <row r="18" spans="1:9" ht="14.5">
      <c r="A18" s="8">
        <v>7600111592</v>
      </c>
      <c r="B18" s="9" t="s">
        <v>145</v>
      </c>
      <c r="D18" s="6" t="s">
        <v>16</v>
      </c>
      <c r="E18" s="6" t="s">
        <v>53</v>
      </c>
      <c r="G18" s="6">
        <v>50</v>
      </c>
      <c r="H18" s="6" t="s">
        <v>56</v>
      </c>
      <c r="I18" s="6" t="s">
        <v>59</v>
      </c>
    </row>
    <row r="19" spans="1:9" ht="26">
      <c r="A19" s="8">
        <v>7636403314</v>
      </c>
      <c r="B19" s="9" t="s">
        <v>146</v>
      </c>
      <c r="D19" s="6" t="s">
        <v>15</v>
      </c>
      <c r="E19" s="6" t="s">
        <v>51</v>
      </c>
      <c r="G19" s="6">
        <v>15</v>
      </c>
      <c r="H19" s="6" t="s">
        <v>56</v>
      </c>
      <c r="I19" s="6" t="s">
        <v>59</v>
      </c>
    </row>
    <row r="20" spans="1:9" ht="26">
      <c r="A20" s="8">
        <v>7636403314</v>
      </c>
      <c r="B20" s="9" t="s">
        <v>146</v>
      </c>
      <c r="D20" s="6" t="s">
        <v>15</v>
      </c>
      <c r="E20" s="6" t="s">
        <v>52</v>
      </c>
      <c r="G20" s="6">
        <v>20</v>
      </c>
      <c r="H20" s="6" t="s">
        <v>56</v>
      </c>
      <c r="I20" s="6" t="s">
        <v>59</v>
      </c>
    </row>
    <row r="21" spans="1:9" ht="26">
      <c r="A21" s="8">
        <v>7636403314</v>
      </c>
      <c r="B21" s="9" t="s">
        <v>146</v>
      </c>
      <c r="D21" s="6" t="s">
        <v>16</v>
      </c>
      <c r="E21" s="6" t="s">
        <v>53</v>
      </c>
      <c r="G21" s="6">
        <v>30</v>
      </c>
      <c r="H21" s="6" t="s">
        <v>56</v>
      </c>
      <c r="I21" s="6" t="s">
        <v>59</v>
      </c>
    </row>
    <row r="22" spans="1:9" ht="26">
      <c r="A22" s="8">
        <v>7652009397</v>
      </c>
      <c r="B22" s="9" t="s">
        <v>147</v>
      </c>
      <c r="D22" s="6" t="s">
        <v>15</v>
      </c>
      <c r="E22" s="6" t="s">
        <v>51</v>
      </c>
      <c r="G22" s="6">
        <v>15</v>
      </c>
      <c r="H22" s="6" t="s">
        <v>56</v>
      </c>
      <c r="I22" s="6" t="s">
        <v>59</v>
      </c>
    </row>
    <row r="23" spans="1:9" ht="14.5">
      <c r="A23" s="8">
        <v>7600105765</v>
      </c>
      <c r="B23" s="9" t="s">
        <v>148</v>
      </c>
      <c r="D23" s="6" t="s">
        <v>15</v>
      </c>
      <c r="E23" s="6" t="s">
        <v>51</v>
      </c>
      <c r="G23" s="6">
        <v>15</v>
      </c>
      <c r="H23" s="6" t="s">
        <v>56</v>
      </c>
      <c r="I23" s="6" t="s">
        <v>59</v>
      </c>
    </row>
    <row r="24" spans="1:9" ht="14.5">
      <c r="A24" s="8">
        <v>7600105765</v>
      </c>
      <c r="B24" s="9" t="s">
        <v>148</v>
      </c>
      <c r="D24" s="6" t="s">
        <v>16</v>
      </c>
      <c r="E24" s="6" t="s">
        <v>53</v>
      </c>
      <c r="G24" s="6">
        <v>30</v>
      </c>
      <c r="H24" s="6" t="s">
        <v>56</v>
      </c>
      <c r="I24" s="6" t="s">
        <v>59</v>
      </c>
    </row>
    <row r="25" spans="1:9" ht="14.5">
      <c r="A25" s="8">
        <v>7652002273</v>
      </c>
      <c r="B25" s="9" t="s">
        <v>149</v>
      </c>
      <c r="D25" s="6" t="s">
        <v>15</v>
      </c>
      <c r="E25" s="6" t="s">
        <v>51</v>
      </c>
      <c r="G25" s="6">
        <v>15</v>
      </c>
      <c r="H25" s="6" t="s">
        <v>56</v>
      </c>
      <c r="I25" s="6" t="s">
        <v>59</v>
      </c>
    </row>
    <row r="26" spans="1:9" ht="39">
      <c r="A26" s="8">
        <v>7600103954</v>
      </c>
      <c r="B26" s="9" t="s">
        <v>150</v>
      </c>
      <c r="D26" s="6" t="s">
        <v>15</v>
      </c>
      <c r="E26" s="6" t="s">
        <v>51</v>
      </c>
      <c r="G26" s="6">
        <v>15</v>
      </c>
      <c r="H26" s="6" t="s">
        <v>56</v>
      </c>
      <c r="I26" s="6" t="s">
        <v>59</v>
      </c>
    </row>
    <row r="27" spans="1:9" ht="39">
      <c r="A27" s="8">
        <v>7600103954</v>
      </c>
      <c r="B27" s="9" t="s">
        <v>150</v>
      </c>
      <c r="D27" s="6" t="s">
        <v>15</v>
      </c>
      <c r="E27" s="6" t="s">
        <v>52</v>
      </c>
      <c r="G27" s="6">
        <v>20</v>
      </c>
      <c r="H27" s="6" t="s">
        <v>56</v>
      </c>
      <c r="I27" s="6" t="s">
        <v>59</v>
      </c>
    </row>
    <row r="28" spans="1:9" ht="39">
      <c r="A28" s="8">
        <v>7600103954</v>
      </c>
      <c r="B28" s="9" t="s">
        <v>150</v>
      </c>
      <c r="D28" s="6" t="s">
        <v>16</v>
      </c>
      <c r="E28" s="6" t="s">
        <v>53</v>
      </c>
      <c r="G28" s="6">
        <v>30</v>
      </c>
      <c r="H28" s="6" t="s">
        <v>56</v>
      </c>
      <c r="I28" s="6" t="s">
        <v>59</v>
      </c>
    </row>
    <row r="29" spans="1:9" ht="26">
      <c r="A29" s="8">
        <v>7600101125</v>
      </c>
      <c r="B29" s="9" t="s">
        <v>151</v>
      </c>
      <c r="D29" s="6" t="s">
        <v>15</v>
      </c>
      <c r="E29" s="6" t="s">
        <v>51</v>
      </c>
      <c r="G29" s="6">
        <v>15</v>
      </c>
      <c r="H29" s="6" t="s">
        <v>56</v>
      </c>
      <c r="I29" s="6" t="s">
        <v>59</v>
      </c>
    </row>
    <row r="30" spans="1:9" ht="26">
      <c r="A30" s="8">
        <v>7600101125</v>
      </c>
      <c r="B30" s="9" t="s">
        <v>151</v>
      </c>
      <c r="D30" s="6" t="s">
        <v>15</v>
      </c>
      <c r="E30" s="6" t="s">
        <v>52</v>
      </c>
      <c r="G30" s="6">
        <v>20</v>
      </c>
      <c r="H30" s="6" t="s">
        <v>56</v>
      </c>
      <c r="I30" s="6" t="s">
        <v>59</v>
      </c>
    </row>
    <row r="31" spans="1:9" ht="26">
      <c r="A31" s="8">
        <v>7600101125</v>
      </c>
      <c r="B31" s="9" t="s">
        <v>151</v>
      </c>
      <c r="D31" s="6" t="s">
        <v>16</v>
      </c>
      <c r="E31" s="6" t="s">
        <v>53</v>
      </c>
      <c r="G31" s="6">
        <v>30</v>
      </c>
      <c r="H31" s="6" t="s">
        <v>56</v>
      </c>
      <c r="I31" s="6" t="s">
        <v>59</v>
      </c>
    </row>
    <row r="32" spans="1:9" ht="14.5">
      <c r="A32" s="8">
        <v>7600101111</v>
      </c>
      <c r="B32" s="9" t="s">
        <v>152</v>
      </c>
      <c r="D32" s="6" t="s">
        <v>15</v>
      </c>
      <c r="E32" s="6" t="s">
        <v>51</v>
      </c>
      <c r="G32" s="6">
        <v>15</v>
      </c>
      <c r="H32" s="6" t="s">
        <v>56</v>
      </c>
      <c r="I32" s="6" t="s">
        <v>59</v>
      </c>
    </row>
    <row r="33" spans="1:9" ht="14.5">
      <c r="A33" s="8">
        <v>7600101111</v>
      </c>
      <c r="B33" s="9" t="s">
        <v>152</v>
      </c>
      <c r="D33" s="6" t="s">
        <v>15</v>
      </c>
      <c r="E33" s="6" t="s">
        <v>52</v>
      </c>
      <c r="G33" s="6">
        <v>20</v>
      </c>
      <c r="H33" s="6" t="s">
        <v>56</v>
      </c>
      <c r="I33" s="6" t="s">
        <v>59</v>
      </c>
    </row>
    <row r="34" spans="1:9" ht="14.5">
      <c r="A34" s="8">
        <v>7600101111</v>
      </c>
      <c r="B34" s="9" t="s">
        <v>152</v>
      </c>
      <c r="D34" s="6" t="s">
        <v>16</v>
      </c>
      <c r="E34" s="6" t="s">
        <v>53</v>
      </c>
      <c r="G34" s="6">
        <v>30</v>
      </c>
      <c r="H34" s="6" t="s">
        <v>56</v>
      </c>
      <c r="I34" s="6" t="s">
        <v>59</v>
      </c>
    </row>
    <row r="35" spans="1:9" ht="26">
      <c r="A35" s="8">
        <v>7611103495</v>
      </c>
      <c r="B35" s="9" t="s">
        <v>153</v>
      </c>
      <c r="D35" s="6" t="s">
        <v>15</v>
      </c>
      <c r="E35" s="6" t="s">
        <v>52</v>
      </c>
      <c r="G35" s="6">
        <v>20</v>
      </c>
      <c r="H35" s="6" t="s">
        <v>56</v>
      </c>
      <c r="I35" s="6" t="s">
        <v>59</v>
      </c>
    </row>
    <row r="36" spans="1:9" ht="26">
      <c r="A36" s="8">
        <v>7611103495</v>
      </c>
      <c r="B36" s="9" t="s">
        <v>153</v>
      </c>
      <c r="D36" s="6" t="s">
        <v>16</v>
      </c>
      <c r="E36" s="6" t="s">
        <v>53</v>
      </c>
      <c r="G36" s="6">
        <v>30</v>
      </c>
      <c r="H36" s="6" t="s">
        <v>56</v>
      </c>
      <c r="I36" s="6" t="s">
        <v>59</v>
      </c>
    </row>
    <row r="37" spans="1:9" ht="52">
      <c r="A37" s="8">
        <v>7600112932</v>
      </c>
      <c r="B37" s="9" t="s">
        <v>154</v>
      </c>
      <c r="D37" s="6" t="s">
        <v>15</v>
      </c>
      <c r="E37" s="6" t="s">
        <v>51</v>
      </c>
      <c r="G37" s="6">
        <v>40</v>
      </c>
      <c r="H37" s="6" t="s">
        <v>56</v>
      </c>
      <c r="I37" s="6" t="s">
        <v>59</v>
      </c>
    </row>
    <row r="38" spans="1:9" ht="52">
      <c r="A38" s="8">
        <v>7600112932</v>
      </c>
      <c r="B38" s="9" t="s">
        <v>154</v>
      </c>
      <c r="D38" s="6" t="s">
        <v>15</v>
      </c>
      <c r="E38" s="6" t="s">
        <v>52</v>
      </c>
      <c r="G38" s="6">
        <v>40</v>
      </c>
      <c r="H38" s="6" t="s">
        <v>56</v>
      </c>
      <c r="I38" s="6" t="s">
        <v>59</v>
      </c>
    </row>
    <row r="39" spans="1:9" ht="52">
      <c r="A39" s="8">
        <v>7600112932</v>
      </c>
      <c r="B39" s="9" t="s">
        <v>154</v>
      </c>
      <c r="D39" s="6" t="s">
        <v>16</v>
      </c>
      <c r="E39" s="6" t="s">
        <v>53</v>
      </c>
      <c r="G39" s="6">
        <v>40</v>
      </c>
      <c r="H39" s="6" t="s">
        <v>56</v>
      </c>
      <c r="I39" s="6" t="s">
        <v>59</v>
      </c>
    </row>
    <row r="40" spans="1:9" ht="26">
      <c r="A40" s="8">
        <v>7600103956</v>
      </c>
      <c r="B40" s="9" t="s">
        <v>155</v>
      </c>
      <c r="D40" s="6" t="s">
        <v>15</v>
      </c>
      <c r="E40" s="6" t="s">
        <v>51</v>
      </c>
      <c r="G40" s="6">
        <v>15</v>
      </c>
      <c r="H40" s="6" t="s">
        <v>56</v>
      </c>
      <c r="I40" s="6" t="s">
        <v>59</v>
      </c>
    </row>
    <row r="41" spans="1:9" ht="26">
      <c r="A41" s="8">
        <v>7600103956</v>
      </c>
      <c r="B41" s="9" t="s">
        <v>155</v>
      </c>
      <c r="D41" s="6" t="s">
        <v>15</v>
      </c>
      <c r="E41" s="6" t="s">
        <v>52</v>
      </c>
      <c r="G41" s="6">
        <v>20</v>
      </c>
      <c r="H41" s="6" t="s">
        <v>56</v>
      </c>
      <c r="I41" s="6" t="s">
        <v>59</v>
      </c>
    </row>
    <row r="42" spans="1:9" ht="26">
      <c r="A42" s="8">
        <v>7600103956</v>
      </c>
      <c r="B42" s="9" t="s">
        <v>155</v>
      </c>
      <c r="D42" s="6" t="s">
        <v>16</v>
      </c>
      <c r="E42" s="6" t="s">
        <v>53</v>
      </c>
      <c r="G42" s="6">
        <v>30</v>
      </c>
      <c r="H42" s="6" t="s">
        <v>56</v>
      </c>
      <c r="I42" s="6" t="s">
        <v>59</v>
      </c>
    </row>
    <row r="43" spans="1:9" ht="26">
      <c r="A43" s="8">
        <v>7600103959</v>
      </c>
      <c r="B43" s="9" t="s">
        <v>156</v>
      </c>
      <c r="D43" s="6" t="s">
        <v>15</v>
      </c>
      <c r="E43" s="6" t="s">
        <v>51</v>
      </c>
      <c r="G43" s="6">
        <v>15</v>
      </c>
      <c r="H43" s="6" t="s">
        <v>56</v>
      </c>
      <c r="I43" s="6" t="s">
        <v>59</v>
      </c>
    </row>
    <row r="44" spans="1:9" ht="26">
      <c r="A44" s="8">
        <v>7600103959</v>
      </c>
      <c r="B44" s="9" t="s">
        <v>156</v>
      </c>
      <c r="D44" s="6" t="s">
        <v>15</v>
      </c>
      <c r="E44" s="6" t="s">
        <v>52</v>
      </c>
      <c r="G44" s="6">
        <v>20</v>
      </c>
      <c r="H44" s="6" t="s">
        <v>56</v>
      </c>
      <c r="I44" s="6" t="s">
        <v>59</v>
      </c>
    </row>
    <row r="45" spans="1:9" ht="26">
      <c r="A45" s="8">
        <v>7600103959</v>
      </c>
      <c r="B45" s="9" t="s">
        <v>156</v>
      </c>
      <c r="D45" s="6" t="s">
        <v>16</v>
      </c>
      <c r="E45" s="6" t="s">
        <v>53</v>
      </c>
      <c r="G45" s="6">
        <v>30</v>
      </c>
      <c r="H45" s="6" t="s">
        <v>56</v>
      </c>
      <c r="I45" s="6" t="s">
        <v>59</v>
      </c>
    </row>
    <row r="46" spans="1:9" ht="26">
      <c r="A46" s="8">
        <v>7600103957</v>
      </c>
      <c r="B46" s="9" t="s">
        <v>157</v>
      </c>
      <c r="D46" s="6" t="s">
        <v>15</v>
      </c>
      <c r="E46" s="6" t="s">
        <v>51</v>
      </c>
      <c r="G46" s="6">
        <v>15</v>
      </c>
      <c r="H46" s="6" t="s">
        <v>56</v>
      </c>
      <c r="I46" s="6" t="s">
        <v>59</v>
      </c>
    </row>
    <row r="47" spans="1:9" ht="26">
      <c r="A47" s="8">
        <v>7600102523</v>
      </c>
      <c r="B47" s="9" t="s">
        <v>158</v>
      </c>
      <c r="D47" s="6" t="s">
        <v>15</v>
      </c>
      <c r="E47" s="6" t="s">
        <v>51</v>
      </c>
      <c r="G47" s="6">
        <v>15</v>
      </c>
      <c r="H47" s="6" t="s">
        <v>56</v>
      </c>
      <c r="I47" s="6" t="s">
        <v>59</v>
      </c>
    </row>
    <row r="48" spans="1:9" ht="26">
      <c r="A48" s="8">
        <v>7600100037</v>
      </c>
      <c r="B48" s="9" t="s">
        <v>159</v>
      </c>
      <c r="D48" s="6" t="s">
        <v>15</v>
      </c>
      <c r="E48" s="6" t="s">
        <v>51</v>
      </c>
      <c r="G48" s="6">
        <v>15</v>
      </c>
      <c r="H48" s="6" t="s">
        <v>56</v>
      </c>
      <c r="I48" s="6" t="s">
        <v>59</v>
      </c>
    </row>
    <row r="49" spans="1:9" ht="39">
      <c r="A49" s="8">
        <v>7600104064</v>
      </c>
      <c r="B49" s="9" t="s">
        <v>160</v>
      </c>
      <c r="D49" s="6" t="s">
        <v>15</v>
      </c>
      <c r="E49" s="6" t="s">
        <v>51</v>
      </c>
      <c r="G49" s="6">
        <v>15</v>
      </c>
      <c r="H49" s="6" t="s">
        <v>56</v>
      </c>
      <c r="I49" s="6" t="s">
        <v>59</v>
      </c>
    </row>
    <row r="50" spans="1:9" ht="39">
      <c r="A50" s="8">
        <v>7600104064</v>
      </c>
      <c r="B50" s="9" t="s">
        <v>160</v>
      </c>
      <c r="D50" s="6" t="s">
        <v>16</v>
      </c>
      <c r="E50" s="6" t="s">
        <v>53</v>
      </c>
      <c r="G50" s="6">
        <v>30</v>
      </c>
      <c r="H50" s="6" t="s">
        <v>56</v>
      </c>
      <c r="I50" s="6" t="s">
        <v>59</v>
      </c>
    </row>
    <row r="51" spans="1:9" ht="39">
      <c r="A51" s="8">
        <v>7600103609</v>
      </c>
      <c r="B51" s="9" t="s">
        <v>161</v>
      </c>
      <c r="D51" s="6" t="s">
        <v>15</v>
      </c>
      <c r="E51" s="6" t="s">
        <v>51</v>
      </c>
      <c r="G51" s="6">
        <v>15</v>
      </c>
      <c r="H51" s="6" t="s">
        <v>56</v>
      </c>
      <c r="I51" s="6" t="s">
        <v>59</v>
      </c>
    </row>
    <row r="52" spans="1:9" ht="39">
      <c r="A52" s="8">
        <v>7600103609</v>
      </c>
      <c r="B52" s="9" t="s">
        <v>161</v>
      </c>
      <c r="D52" s="6" t="s">
        <v>15</v>
      </c>
      <c r="E52" s="6" t="s">
        <v>52</v>
      </c>
      <c r="G52" s="6">
        <v>20</v>
      </c>
      <c r="H52" s="6" t="s">
        <v>56</v>
      </c>
      <c r="I52" s="6" t="s">
        <v>59</v>
      </c>
    </row>
    <row r="53" spans="1:9" ht="39">
      <c r="A53" s="8">
        <v>7600103609</v>
      </c>
      <c r="B53" s="9" t="s">
        <v>161</v>
      </c>
      <c r="D53" s="6" t="s">
        <v>16</v>
      </c>
      <c r="E53" s="6" t="s">
        <v>53</v>
      </c>
      <c r="G53" s="6">
        <v>30</v>
      </c>
      <c r="H53" s="6" t="s">
        <v>56</v>
      </c>
      <c r="I53" s="6" t="s">
        <v>59</v>
      </c>
    </row>
    <row r="54" spans="1:9" ht="14.5">
      <c r="A54" s="8">
        <v>7600109597</v>
      </c>
      <c r="B54" s="9" t="s">
        <v>162</v>
      </c>
      <c r="D54" s="6" t="s">
        <v>16</v>
      </c>
      <c r="E54" s="6" t="s">
        <v>53</v>
      </c>
      <c r="G54" s="6">
        <v>40</v>
      </c>
      <c r="H54" s="6" t="s">
        <v>56</v>
      </c>
      <c r="I54" s="6" t="s">
        <v>59</v>
      </c>
    </row>
    <row r="55" spans="1:9" ht="26">
      <c r="A55" s="8">
        <v>7600112124</v>
      </c>
      <c r="B55" s="9" t="s">
        <v>163</v>
      </c>
      <c r="D55" s="6" t="s">
        <v>16</v>
      </c>
      <c r="E55" s="6" t="s">
        <v>53</v>
      </c>
      <c r="G55" s="6">
        <v>30</v>
      </c>
      <c r="H55" s="6" t="s">
        <v>56</v>
      </c>
      <c r="I55" s="6" t="s">
        <v>59</v>
      </c>
    </row>
    <row r="56" spans="1:9" ht="14.5">
      <c r="A56" s="8">
        <v>7600100803</v>
      </c>
      <c r="B56" s="9" t="s">
        <v>164</v>
      </c>
      <c r="D56" s="6" t="s">
        <v>15</v>
      </c>
      <c r="E56" s="6" t="s">
        <v>51</v>
      </c>
      <c r="G56" s="6">
        <v>15</v>
      </c>
      <c r="H56" s="6" t="s">
        <v>56</v>
      </c>
      <c r="I56" s="6" t="s">
        <v>59</v>
      </c>
    </row>
    <row r="57" spans="1:9" ht="14.5">
      <c r="A57" s="8">
        <v>7600100803</v>
      </c>
      <c r="B57" s="9" t="s">
        <v>164</v>
      </c>
      <c r="D57" s="6" t="s">
        <v>16</v>
      </c>
      <c r="E57" s="6" t="s">
        <v>53</v>
      </c>
      <c r="G57" s="6">
        <v>30</v>
      </c>
      <c r="H57" s="6" t="s">
        <v>56</v>
      </c>
      <c r="I57" s="6" t="s">
        <v>59</v>
      </c>
    </row>
    <row r="58" spans="1:9" ht="14.5">
      <c r="A58" s="8">
        <v>7600100294</v>
      </c>
      <c r="B58" s="9" t="s">
        <v>165</v>
      </c>
      <c r="D58" s="6" t="s">
        <v>15</v>
      </c>
      <c r="E58" s="6" t="s">
        <v>51</v>
      </c>
      <c r="G58" s="6">
        <v>15</v>
      </c>
      <c r="H58" s="6" t="s">
        <v>56</v>
      </c>
      <c r="I58" s="6" t="s">
        <v>59</v>
      </c>
    </row>
    <row r="59" spans="1:9" ht="14.5">
      <c r="A59" s="8">
        <v>7600100294</v>
      </c>
      <c r="B59" s="9" t="s">
        <v>165</v>
      </c>
      <c r="D59" s="6" t="s">
        <v>15</v>
      </c>
      <c r="E59" s="6" t="s">
        <v>52</v>
      </c>
      <c r="G59" s="6">
        <v>20</v>
      </c>
      <c r="H59" s="6" t="s">
        <v>56</v>
      </c>
      <c r="I59" s="6" t="s">
        <v>59</v>
      </c>
    </row>
    <row r="60" spans="1:9" ht="14.5">
      <c r="A60" s="8">
        <v>7600100294</v>
      </c>
      <c r="B60" s="9" t="s">
        <v>165</v>
      </c>
      <c r="D60" s="6" t="s">
        <v>16</v>
      </c>
      <c r="E60" s="6" t="s">
        <v>53</v>
      </c>
      <c r="G60" s="6">
        <v>30</v>
      </c>
      <c r="H60" s="6" t="s">
        <v>56</v>
      </c>
      <c r="I60" s="6" t="s">
        <v>59</v>
      </c>
    </row>
    <row r="61" spans="1:9" ht="26">
      <c r="A61" s="8">
        <v>7600105205</v>
      </c>
      <c r="B61" s="9" t="s">
        <v>166</v>
      </c>
      <c r="D61" s="6" t="s">
        <v>15</v>
      </c>
      <c r="E61" s="6" t="s">
        <v>51</v>
      </c>
      <c r="G61" s="6">
        <v>15</v>
      </c>
      <c r="H61" s="6" t="s">
        <v>56</v>
      </c>
      <c r="I61" s="6" t="s">
        <v>59</v>
      </c>
    </row>
    <row r="62" spans="1:9" ht="26">
      <c r="A62" s="8">
        <v>7600105205</v>
      </c>
      <c r="B62" s="9" t="s">
        <v>166</v>
      </c>
      <c r="D62" s="6" t="s">
        <v>15</v>
      </c>
      <c r="E62" s="6" t="s">
        <v>52</v>
      </c>
      <c r="G62" s="6">
        <v>20</v>
      </c>
      <c r="H62" s="6" t="s">
        <v>56</v>
      </c>
      <c r="I62" s="6" t="s">
        <v>59</v>
      </c>
    </row>
    <row r="63" spans="1:9" ht="26">
      <c r="A63" s="8">
        <v>7600105205</v>
      </c>
      <c r="B63" s="9" t="s">
        <v>166</v>
      </c>
      <c r="D63" s="6" t="s">
        <v>16</v>
      </c>
      <c r="E63" s="6" t="s">
        <v>53</v>
      </c>
      <c r="G63" s="6">
        <v>30</v>
      </c>
      <c r="H63" s="6" t="s">
        <v>56</v>
      </c>
      <c r="I63" s="6" t="s">
        <v>59</v>
      </c>
    </row>
    <row r="64" spans="1:9" ht="14.5">
      <c r="A64" s="8">
        <v>1100109456</v>
      </c>
      <c r="B64" s="9" t="s">
        <v>167</v>
      </c>
      <c r="D64" s="6" t="s">
        <v>15</v>
      </c>
      <c r="E64" s="6" t="s">
        <v>52</v>
      </c>
      <c r="G64" s="6">
        <v>20</v>
      </c>
      <c r="H64" s="6" t="s">
        <v>56</v>
      </c>
      <c r="I64" s="6" t="s">
        <v>59</v>
      </c>
    </row>
    <row r="65" spans="1:9" ht="14.5">
      <c r="A65" s="8">
        <v>1100109456</v>
      </c>
      <c r="B65" s="9" t="s">
        <v>167</v>
      </c>
      <c r="D65" s="6" t="s">
        <v>16</v>
      </c>
      <c r="E65" s="6" t="s">
        <v>53</v>
      </c>
      <c r="G65" s="6">
        <v>30</v>
      </c>
      <c r="H65" s="6" t="s">
        <v>56</v>
      </c>
      <c r="I65" s="6" t="s">
        <v>59</v>
      </c>
    </row>
    <row r="66" spans="1:9" ht="26">
      <c r="A66" s="8">
        <v>5200101102</v>
      </c>
      <c r="B66" s="9" t="s">
        <v>168</v>
      </c>
      <c r="D66" s="6" t="s">
        <v>15</v>
      </c>
      <c r="E66" s="6" t="s">
        <v>52</v>
      </c>
      <c r="G66" s="6">
        <v>40</v>
      </c>
      <c r="H66" s="6" t="s">
        <v>56</v>
      </c>
      <c r="I66" s="6" t="s">
        <v>59</v>
      </c>
    </row>
    <row r="67" spans="1:9" ht="26">
      <c r="A67" s="8">
        <v>5200101102</v>
      </c>
      <c r="B67" s="9" t="s">
        <v>168</v>
      </c>
      <c r="D67" s="6" t="s">
        <v>16</v>
      </c>
      <c r="E67" s="6" t="s">
        <v>53</v>
      </c>
      <c r="G67" s="6">
        <v>40</v>
      </c>
      <c r="H67" s="6" t="s">
        <v>56</v>
      </c>
      <c r="I67" s="6" t="s">
        <v>59</v>
      </c>
    </row>
    <row r="68" spans="1:9" ht="14.5">
      <c r="A68" s="8">
        <v>5200100283</v>
      </c>
      <c r="B68" s="9" t="s">
        <v>169</v>
      </c>
      <c r="D68" s="6" t="s">
        <v>15</v>
      </c>
      <c r="E68" s="6" t="s">
        <v>52</v>
      </c>
      <c r="G68" s="6">
        <v>20</v>
      </c>
      <c r="H68" s="6" t="s">
        <v>56</v>
      </c>
      <c r="I68" s="6" t="s">
        <v>59</v>
      </c>
    </row>
    <row r="69" spans="1:9" ht="14.5">
      <c r="A69" s="8">
        <v>5200100283</v>
      </c>
      <c r="B69" s="9" t="s">
        <v>169</v>
      </c>
      <c r="D69" s="6" t="s">
        <v>16</v>
      </c>
      <c r="E69" s="6" t="s">
        <v>53</v>
      </c>
      <c r="G69" s="6">
        <v>30</v>
      </c>
      <c r="I69" s="6" t="s">
        <v>59</v>
      </c>
    </row>
    <row r="70" spans="1:9" ht="26">
      <c r="A70" s="8">
        <v>7600103799</v>
      </c>
      <c r="B70" s="13" t="s">
        <v>170</v>
      </c>
      <c r="D70" s="6" t="s">
        <v>15</v>
      </c>
      <c r="E70" s="6" t="s">
        <v>51</v>
      </c>
      <c r="F70" s="14"/>
      <c r="G70" s="6">
        <v>24</v>
      </c>
      <c r="H70" s="6" t="s">
        <v>56</v>
      </c>
      <c r="I70" s="6" t="s">
        <v>60</v>
      </c>
    </row>
    <row r="71" spans="1:9" ht="26">
      <c r="A71" s="8">
        <v>7600103799</v>
      </c>
      <c r="B71" s="13" t="s">
        <v>170</v>
      </c>
      <c r="D71" s="6" t="s">
        <v>15</v>
      </c>
      <c r="E71" s="6" t="s">
        <v>52</v>
      </c>
      <c r="F71" s="14"/>
      <c r="G71" s="6">
        <v>24</v>
      </c>
      <c r="H71" s="6" t="s">
        <v>56</v>
      </c>
      <c r="I71" s="6" t="s">
        <v>60</v>
      </c>
    </row>
    <row r="72" spans="1:9" ht="26">
      <c r="A72" s="8">
        <v>7600103799</v>
      </c>
      <c r="B72" s="13" t="s">
        <v>170</v>
      </c>
      <c r="D72" s="6" t="s">
        <v>16</v>
      </c>
      <c r="E72" s="6" t="s">
        <v>53</v>
      </c>
      <c r="F72" s="15"/>
      <c r="G72" s="6">
        <v>30</v>
      </c>
      <c r="H72" s="6" t="s">
        <v>56</v>
      </c>
      <c r="I72" s="6" t="s">
        <v>60</v>
      </c>
    </row>
    <row r="73" spans="1:9" ht="14.5">
      <c r="A73" s="8" t="s">
        <v>173</v>
      </c>
      <c r="B73" s="9" t="s">
        <v>172</v>
      </c>
      <c r="D73" s="6" t="s">
        <v>15</v>
      </c>
      <c r="E73" s="6" t="s">
        <v>52</v>
      </c>
      <c r="G73" s="6">
        <v>20</v>
      </c>
      <c r="H73" s="6" t="s">
        <v>56</v>
      </c>
      <c r="I73" s="6" t="s">
        <v>59</v>
      </c>
    </row>
    <row r="74" spans="1:9" ht="14.5">
      <c r="A74" s="8" t="s">
        <v>173</v>
      </c>
      <c r="B74" s="9" t="s">
        <v>172</v>
      </c>
      <c r="D74" s="6" t="s">
        <v>16</v>
      </c>
      <c r="E74" s="6" t="s">
        <v>53</v>
      </c>
      <c r="G74" s="6">
        <v>30</v>
      </c>
      <c r="H74" s="6" t="s">
        <v>56</v>
      </c>
      <c r="I74" s="6" t="s">
        <v>59</v>
      </c>
    </row>
  </sheetData>
  <sheetProtection/>
  <autoFilter ref="A1:K74"/>
  <dataValidations count="7">
    <dataValidation type="list" allowBlank="1" sqref="D2:D840">
      <formula1>"Pregrado,Posgrado"</formula1>
    </dataValidation>
    <dataValidation type="list" allowBlank="1" sqref="E2:E840">
      <formula1>"Rotación pregrado,Internado de medicina,Residencia o posgrado clínico"</formula1>
    </dataValidation>
    <dataValidation type="list" allowBlank="1" sqref="H2:H840">
      <formula1>"Sin exigencia,Parcial,Completo + detalle"</formula1>
    </dataValidation>
    <dataValidation type="list" allowBlank="1" sqref="I2:I840">
      <formula1>"No cobra EPP,Cobra EPP a la Universidad"</formula1>
    </dataValidation>
    <dataValidation type="decimal" allowBlank="1" errorTitle="Validación" error="Valor inválido. Debe estar entre 0 y 100." sqref="G2:G840">
      <formula1>0</formula1>
      <formula2>100</formula2>
    </dataValidation>
    <dataValidation type="decimal" allowBlank="1" errorTitle="Validación" error="Valor inválido. Debe estar entre 0 y 100." sqref="L2:L340">
      <formula1>0</formula1>
      <formula2>100</formula2>
    </dataValidation>
    <dataValidation type="list" allowBlank="1" sqref="C2:C1048576">
      <formula1>"Pregrados,Internos,Posgrados MQ,Todos"</formula1>
    </dataValidation>
  </dataValidations>
  <pageMargins left="0.75" right="0.75" top="1" bottom="1" header="0.5" footer="0.5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workbookViewId="0" topLeftCell="A1">
      <pane ySplit="5" topLeftCell="A6" activePane="bottomLeft" state="frozen"/>
      <selection pane="topLeft" activeCell="A1" sqref="A1"/>
      <selection pane="bottomLeft" activeCell="A6" sqref="A6"/>
    </sheetView>
  </sheetViews>
  <sheetFormatPr defaultColWidth="8.81428571428571" defaultRowHeight="14.5"/>
  <cols>
    <col min="1" max="1" width="60" customWidth="1"/>
    <col min="2" max="2" width="35" customWidth="1"/>
    <col min="3" max="3" width="28" customWidth="1"/>
    <col min="4" max="4" width="21" customWidth="1"/>
    <col min="5" max="5" width="44" customWidth="1"/>
    <col min="6" max="6" width="26" customWidth="1"/>
    <col min="7" max="7" width="42" customWidth="1"/>
    <col min="8" max="8" width="24" customWidth="1"/>
    <col min="9" max="9" width="12" customWidth="1"/>
    <col min="10" max="10" width="14" customWidth="1"/>
    <col min="11" max="11" width="12" customWidth="1"/>
    <col min="12" max="12" width="35" customWidth="1"/>
  </cols>
  <sheetData>
    <row r="1" spans="1:6" ht="15.5">
      <c r="A1" s="17" t="s">
        <v>108</v>
      </c>
      <c r="B1" s="18"/>
      <c r="C1" s="18"/>
      <c r="D1" s="18"/>
      <c r="E1" s="18"/>
      <c r="F1" s="18"/>
    </row>
    <row r="2" spans="1:5" ht="14.5">
      <c r="A2" s="2" t="s">
        <v>109</v>
      </c>
      <c r="B2" t="s">
        <v>110</v>
      </c>
      <c r="D2" s="2" t="s">
        <v>111</v>
      </c>
      <c r="E2" s="3">
        <v>1</v>
      </c>
    </row>
    <row r="3" spans="1:5" ht="14.5">
      <c r="A3" s="2" t="s">
        <v>112</v>
      </c>
      <c r="B3" s="3">
        <f>SUMIFS($I:$I,$A:$A,$B$2,$J:$J,1)</f>
        <v>0</v>
      </c>
      <c r="D3" s="2" t="s">
        <v>113</v>
      </c>
      <c r="E3" t="str">
        <f>IF(ABS($B$3-1)&lt;=0.0001,"OK","REVISAR")</f>
        <v>REVISAR</v>
      </c>
    </row>
    <row r="4" spans="1:6" ht="14.5">
      <c r="A4" s="18" t="s">
        <v>114</v>
      </c>
      <c r="B4" s="18"/>
      <c r="C4" s="18"/>
      <c r="D4" s="18"/>
      <c r="E4" s="18"/>
      <c r="F4" s="18"/>
    </row>
    <row r="5" spans="1:12" ht="34" customHeight="1">
      <c r="A5" s="1" t="s">
        <v>115</v>
      </c>
      <c r="B5" s="1" t="s">
        <v>116</v>
      </c>
      <c r="C5" s="1" t="s">
        <v>103</v>
      </c>
      <c r="D5" s="1" t="s">
        <v>117</v>
      </c>
      <c r="E5" s="1" t="s">
        <v>118</v>
      </c>
      <c r="F5" s="1" t="s">
        <v>119</v>
      </c>
      <c r="G5" s="1" t="s">
        <v>120</v>
      </c>
      <c r="H5" s="1" t="s">
        <v>121</v>
      </c>
      <c r="I5" s="1" t="s">
        <v>122</v>
      </c>
      <c r="J5" s="1" t="s">
        <v>123</v>
      </c>
      <c r="K5" s="1" t="s">
        <v>124</v>
      </c>
      <c r="L5" s="1" t="s">
        <v>125</v>
      </c>
    </row>
    <row r="6" spans="1:12" ht="14.5">
      <c r="A6" t="s">
        <v>177</v>
      </c>
      <c r="B6" t="s">
        <v>178</v>
      </c>
      <c r="C6" t="s">
        <v>126</v>
      </c>
      <c r="D6" t="s">
        <v>45</v>
      </c>
      <c r="E6" t="s">
        <v>15</v>
      </c>
      <c r="G6" t="s">
        <v>63</v>
      </c>
      <c r="H6" t="s">
        <v>127</v>
      </c>
      <c r="I6" s="16">
        <v>0.10</v>
      </c>
      <c r="J6">
        <v>1</v>
      </c>
      <c r="L6">
        <f t="shared" si="0" ref="L6:L15">SUMIFS($I:$I,$A:$A,$A6,$J:$J,1)</f>
        <v>1</v>
      </c>
    </row>
    <row r="7" spans="1:12" ht="14.5">
      <c r="A7" t="s">
        <v>177</v>
      </c>
      <c r="B7" t="s">
        <v>178</v>
      </c>
      <c r="C7" t="s">
        <v>126</v>
      </c>
      <c r="D7" t="s">
        <v>45</v>
      </c>
      <c r="E7" t="s">
        <v>15</v>
      </c>
      <c r="G7" t="s">
        <v>64</v>
      </c>
      <c r="H7" t="s">
        <v>127</v>
      </c>
      <c r="I7" s="16">
        <v>0.20</v>
      </c>
      <c r="J7">
        <v>1</v>
      </c>
      <c r="L7">
        <f t="shared" si="0"/>
        <v>1</v>
      </c>
    </row>
    <row r="8" spans="1:12" ht="14.5">
      <c r="A8" t="s">
        <v>177</v>
      </c>
      <c r="B8" t="s">
        <v>178</v>
      </c>
      <c r="C8" t="s">
        <v>126</v>
      </c>
      <c r="D8" t="s">
        <v>45</v>
      </c>
      <c r="E8" t="s">
        <v>15</v>
      </c>
      <c r="G8" t="s">
        <v>70</v>
      </c>
      <c r="H8" t="s">
        <v>127</v>
      </c>
      <c r="I8" s="16">
        <v>0.10</v>
      </c>
      <c r="J8">
        <v>1</v>
      </c>
      <c r="L8">
        <f t="shared" si="0"/>
        <v>1</v>
      </c>
    </row>
    <row r="9" spans="1:12" ht="14.5">
      <c r="A9" t="s">
        <v>177</v>
      </c>
      <c r="B9" t="s">
        <v>178</v>
      </c>
      <c r="C9" t="s">
        <v>126</v>
      </c>
      <c r="D9" t="s">
        <v>45</v>
      </c>
      <c r="E9" t="s">
        <v>15</v>
      </c>
      <c r="G9" t="s">
        <v>71</v>
      </c>
      <c r="H9" t="s">
        <v>127</v>
      </c>
      <c r="I9" s="16">
        <v>0.10</v>
      </c>
      <c r="J9">
        <v>1</v>
      </c>
      <c r="L9">
        <f t="shared" si="0"/>
        <v>1</v>
      </c>
    </row>
    <row r="10" spans="1:12" ht="14.5">
      <c r="A10" t="s">
        <v>177</v>
      </c>
      <c r="B10" t="s">
        <v>178</v>
      </c>
      <c r="C10" t="s">
        <v>126</v>
      </c>
      <c r="D10" t="s">
        <v>45</v>
      </c>
      <c r="E10" t="s">
        <v>15</v>
      </c>
      <c r="G10" t="s">
        <v>90</v>
      </c>
      <c r="H10" t="s">
        <v>127</v>
      </c>
      <c r="I10" s="16">
        <v>0.05</v>
      </c>
      <c r="J10">
        <v>1</v>
      </c>
      <c r="L10">
        <f t="shared" si="0"/>
        <v>1</v>
      </c>
    </row>
    <row r="11" spans="1:12" ht="14.5">
      <c r="A11" t="s">
        <v>177</v>
      </c>
      <c r="B11" t="s">
        <v>178</v>
      </c>
      <c r="C11" t="s">
        <v>126</v>
      </c>
      <c r="D11" t="s">
        <v>45</v>
      </c>
      <c r="E11" t="s">
        <v>15</v>
      </c>
      <c r="G11" t="s">
        <v>91</v>
      </c>
      <c r="H11" t="s">
        <v>127</v>
      </c>
      <c r="I11" s="16">
        <v>0.05</v>
      </c>
      <c r="J11">
        <v>1</v>
      </c>
      <c r="L11">
        <f t="shared" si="0"/>
        <v>1</v>
      </c>
    </row>
    <row r="12" spans="1:12" ht="14.5">
      <c r="A12" t="s">
        <v>177</v>
      </c>
      <c r="B12" t="s">
        <v>178</v>
      </c>
      <c r="C12" t="s">
        <v>126</v>
      </c>
      <c r="D12" t="s">
        <v>45</v>
      </c>
      <c r="E12" t="s">
        <v>15</v>
      </c>
      <c r="G12" t="s">
        <v>94</v>
      </c>
      <c r="H12" t="s">
        <v>127</v>
      </c>
      <c r="I12" s="16">
        <v>0.10</v>
      </c>
      <c r="J12">
        <v>1</v>
      </c>
      <c r="L12">
        <f t="shared" si="0"/>
        <v>1</v>
      </c>
    </row>
    <row r="13" spans="1:12" ht="14.5">
      <c r="A13" t="s">
        <v>177</v>
      </c>
      <c r="B13" t="s">
        <v>178</v>
      </c>
      <c r="C13" t="s">
        <v>126</v>
      </c>
      <c r="D13" t="s">
        <v>45</v>
      </c>
      <c r="E13" t="s">
        <v>15</v>
      </c>
      <c r="G13" t="s">
        <v>96</v>
      </c>
      <c r="H13" t="s">
        <v>127</v>
      </c>
      <c r="I13" s="16">
        <v>0.10</v>
      </c>
      <c r="J13">
        <v>1</v>
      </c>
      <c r="L13">
        <f t="shared" si="0"/>
        <v>1</v>
      </c>
    </row>
    <row r="14" spans="1:12" ht="14.5">
      <c r="A14" t="s">
        <v>177</v>
      </c>
      <c r="B14" t="s">
        <v>178</v>
      </c>
      <c r="C14" t="s">
        <v>126</v>
      </c>
      <c r="D14" t="s">
        <v>45</v>
      </c>
      <c r="E14" t="s">
        <v>15</v>
      </c>
      <c r="G14" t="s">
        <v>104</v>
      </c>
      <c r="H14" t="s">
        <v>128</v>
      </c>
      <c r="I14" s="16">
        <v>0.15</v>
      </c>
      <c r="J14">
        <v>1</v>
      </c>
      <c r="L14">
        <f t="shared" si="0"/>
        <v>1</v>
      </c>
    </row>
    <row r="15" spans="1:12" ht="14.5">
      <c r="A15" t="s">
        <v>177</v>
      </c>
      <c r="B15" t="s">
        <v>178</v>
      </c>
      <c r="C15" t="s">
        <v>126</v>
      </c>
      <c r="D15" t="s">
        <v>45</v>
      </c>
      <c r="E15" t="s">
        <v>15</v>
      </c>
      <c r="G15" t="s">
        <v>105</v>
      </c>
      <c r="H15" t="s">
        <v>128</v>
      </c>
      <c r="I15" s="16">
        <v>0.05</v>
      </c>
      <c r="J15">
        <v>1</v>
      </c>
      <c r="L15">
        <f t="shared" si="0"/>
        <v>1</v>
      </c>
    </row>
    <row r="16" spans="1:5" ht="14.5">
      <c r="A16" t="s">
        <v>177</v>
      </c>
      <c r="B16" t="s">
        <v>178</v>
      </c>
      <c r="C16" t="s">
        <v>126</v>
      </c>
      <c r="D16" t="s">
        <v>45</v>
      </c>
      <c r="E16" t="s">
        <v>15</v>
      </c>
    </row>
  </sheetData>
  <sheetProtection/>
  <autoFilter ref="A5:L16"/>
  <mergeCells count="2">
    <mergeCell ref="A1:F1"/>
    <mergeCell ref="A4:F4"/>
  </mergeCells>
  <conditionalFormatting sqref="B3">
    <cfRule type="expression" priority="6" dxfId="3">
      <formula>ABS($B$3-1)&gt;0.0001</formula>
    </cfRule>
    <cfRule type="expression" priority="5" dxfId="4">
      <formula>ABS($B$3-1)&lt;=0.0001</formula>
    </cfRule>
  </conditionalFormatting>
  <conditionalFormatting sqref="L6:L500">
    <cfRule type="expression" priority="4" dxfId="3">
      <formula>AND($A6&lt;&gt;"",ABS(L6-1)&gt;0.0001)</formula>
    </cfRule>
  </conditionalFormatting>
  <dataValidations count="3">
    <dataValidation type="list" allowBlank="1" sqref="H6:H500">
      <formula1>"Beneficio,Costo"</formula1>
    </dataValidation>
    <dataValidation type="list" allowBlank="1" sqref="J6:J500">
      <formula1>"0,1"</formula1>
    </dataValidation>
    <dataValidation type="decimal" allowBlank="1" errorTitle="Validación" error="Valor inválido. Debe estar entre 0 y 1." sqref="I6:I500">
      <formula1>0</formula1>
      <formula2>1</formula2>
    </dataValidation>
  </dataValidations>
  <pageMargins left="0.75" right="0.75" top="1" bottom="1" header="0.5" footer="0.5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4"/>
  <sheetViews>
    <sheetView zoomScale="150" zoomScaleNormal="150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8.81428571428571" defaultRowHeight="14.5"/>
  <cols>
    <col min="1" max="1" width="160" customWidth="1"/>
  </cols>
  <sheetData>
    <row r="1" spans="1:1" ht="18.5">
      <c r="A1" s="4" t="s">
        <v>138</v>
      </c>
    </row>
    <row r="3" spans="1:1" ht="14.5">
      <c r="A3" t="s">
        <v>129</v>
      </c>
    </row>
    <row r="4" spans="1:1" ht="14.5">
      <c r="A4" t="s">
        <v>130</v>
      </c>
    </row>
    <row r="5" spans="1:1" ht="14.5">
      <c r="A5" t="s">
        <v>131</v>
      </c>
    </row>
    <row r="6" spans="1:1" ht="14.5">
      <c r="A6" t="s">
        <v>132</v>
      </c>
    </row>
    <row r="7" spans="1:1" ht="14.5">
      <c r="A7" t="s">
        <v>133</v>
      </c>
    </row>
    <row r="8" spans="1:1" ht="14.5">
      <c r="A8" t="s">
        <v>134</v>
      </c>
    </row>
    <row r="9" spans="1:1" ht="14.5">
      <c r="A9" t="s">
        <v>135</v>
      </c>
    </row>
    <row r="10" spans="1:1" ht="14.5">
      <c r="A10" t="s">
        <v>136</v>
      </c>
    </row>
    <row r="11" spans="1:1" ht="14.5">
      <c r="A11" t="s">
        <v>137</v>
      </c>
    </row>
    <row r="12" spans="1:1" ht="14.5">
      <c r="A12" t="s">
        <v>139</v>
      </c>
    </row>
    <row r="14" spans="1:1" ht="14.5">
      <c r="A14">
        <f>44*17000</f>
        <v>748000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00_Catalogos</vt:lpstr>
      <vt:lpstr>01_Oferta</vt:lpstr>
      <vt:lpstr>02_Oferta_x_Programa</vt:lpstr>
      <vt:lpstr>03_Calidad</vt:lpstr>
      <vt:lpstr>04_Costo_del_Sitio</vt:lpstr>
      <vt:lpstr>05_Ponderaciones</vt:lpstr>
      <vt:lpstr>99_Guia_llenado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Ricardo Alberto Arango Cardona</cp:lastModifiedBy>
  <dcterms:created xsi:type="dcterms:W3CDTF">2026-02-05T19:36:52Z</dcterms:created>
  <dcterms:modified xsi:type="dcterms:W3CDTF">2026-06-01T22:05:07Z</dcterms:modified>
  <cp:category/>
</cp:coreProperties>
</file>